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ndrea\Downloads\"/>
    </mc:Choice>
  </mc:AlternateContent>
  <xr:revisionPtr revIDLastSave="0" documentId="13_ncr:1_{5384A125-A65B-4BB8-AEA6-25590B7FFE4B}" xr6:coauthVersionLast="45" xr6:coauthVersionMax="45" xr10:uidLastSave="{00000000-0000-0000-0000-000000000000}"/>
  <bookViews>
    <workbookView xWindow="-120" yWindow="-120" windowWidth="29040" windowHeight="15840" activeTab="3" xr2:uid="{00000000-000D-0000-FFFF-FFFF00000000}"/>
  </bookViews>
  <sheets>
    <sheet name="INCOLLA QUI" sheetId="1" r:id="rId1"/>
    <sheet name="Interfaccia" sheetId="12" r:id="rId2"/>
    <sheet name="Database" sheetId="13" r:id="rId3"/>
    <sheet name="PivotTable" sheetId="14" r:id="rId4"/>
  </sheets>
  <calcPr calcId="191029"/>
  <pivotCaches>
    <pivotCache cacheId="19" r:id="rId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35" i="12" l="1"/>
  <c r="D35" i="12" s="1"/>
  <c r="C36" i="12"/>
  <c r="D36" i="12" s="1"/>
  <c r="C37" i="12"/>
  <c r="D37" i="12" s="1"/>
  <c r="C38" i="12"/>
  <c r="D38" i="12" s="1"/>
  <c r="C39" i="12"/>
  <c r="D39" i="12" s="1"/>
  <c r="C40" i="12"/>
  <c r="D40" i="12" s="1"/>
  <c r="C41" i="12"/>
  <c r="D41" i="12" s="1"/>
  <c r="C42" i="12"/>
  <c r="D42" i="12" s="1"/>
  <c r="C43" i="12"/>
  <c r="D43" i="12" s="1"/>
  <c r="C44" i="12"/>
  <c r="D44" i="12" s="1"/>
  <c r="C45" i="12"/>
  <c r="D45" i="12" s="1"/>
  <c r="C46" i="12"/>
  <c r="D46" i="12" s="1"/>
  <c r="C47" i="12"/>
  <c r="D47" i="12" s="1"/>
  <c r="C48" i="12"/>
  <c r="D48" i="12" s="1"/>
  <c r="C49" i="12"/>
  <c r="D49" i="12" s="1"/>
  <c r="C50" i="12"/>
  <c r="D50" i="12" s="1"/>
  <c r="C51" i="12"/>
  <c r="D51" i="12" s="1"/>
  <c r="C52" i="12"/>
  <c r="D52" i="12" s="1"/>
  <c r="C53" i="12"/>
  <c r="D53" i="12" s="1"/>
  <c r="C54" i="12"/>
  <c r="D54" i="12" s="1"/>
  <c r="C55" i="12"/>
  <c r="D55" i="12" s="1"/>
  <c r="C56" i="12"/>
  <c r="D56" i="12" s="1"/>
  <c r="C57" i="12"/>
  <c r="D57" i="12" s="1"/>
  <c r="C58" i="12"/>
  <c r="D58" i="12" s="1"/>
  <c r="C59" i="12"/>
  <c r="D59" i="12" s="1"/>
  <c r="C60" i="12"/>
  <c r="D60" i="12" s="1"/>
  <c r="C61" i="12"/>
  <c r="D61" i="12" s="1"/>
  <c r="C62" i="12"/>
  <c r="D62" i="12" s="1"/>
  <c r="C63" i="12"/>
  <c r="D63" i="12" s="1"/>
  <c r="C64" i="12"/>
  <c r="D64" i="12" s="1"/>
  <c r="C65" i="12"/>
  <c r="D65" i="12" s="1"/>
  <c r="C66" i="12"/>
  <c r="D66" i="12" s="1"/>
  <c r="C67" i="12"/>
  <c r="D67" i="12" s="1"/>
  <c r="C68" i="12"/>
  <c r="D68" i="12" s="1"/>
  <c r="C69" i="12"/>
  <c r="D69" i="12" s="1"/>
  <c r="C70" i="12"/>
  <c r="D70" i="12" s="1"/>
  <c r="C71" i="12"/>
  <c r="D71" i="12" s="1"/>
  <c r="C72" i="12"/>
  <c r="D72" i="12" s="1"/>
  <c r="C73" i="12"/>
  <c r="D73" i="12" s="1"/>
  <c r="C74" i="12"/>
  <c r="D74" i="12" s="1"/>
  <c r="C75" i="12"/>
  <c r="D75" i="12" s="1"/>
  <c r="C76" i="12"/>
  <c r="D76" i="12" s="1"/>
  <c r="C77" i="12"/>
  <c r="D77" i="12" s="1"/>
  <c r="C78" i="12"/>
  <c r="D78" i="12" s="1"/>
  <c r="C79" i="12"/>
  <c r="D79" i="12" s="1"/>
  <c r="C80" i="12"/>
  <c r="D80" i="12" s="1"/>
  <c r="C81" i="12"/>
  <c r="D81" i="12" s="1"/>
  <c r="C82" i="12"/>
  <c r="D82" i="12" s="1"/>
  <c r="C83" i="12"/>
  <c r="D83" i="12" s="1"/>
  <c r="C84" i="12"/>
  <c r="D84" i="12" s="1"/>
  <c r="C85" i="12"/>
  <c r="D85" i="12" s="1"/>
  <c r="C86" i="12"/>
  <c r="D86" i="12" s="1"/>
  <c r="C87" i="12"/>
  <c r="D87" i="12" s="1"/>
  <c r="C88" i="12"/>
  <c r="D88" i="12" s="1"/>
  <c r="C89" i="12"/>
  <c r="D89" i="12" s="1"/>
  <c r="C90" i="12"/>
  <c r="D90" i="12" s="1"/>
  <c r="C91" i="12"/>
  <c r="D91" i="12" s="1"/>
  <c r="C92" i="12"/>
  <c r="D92" i="12" s="1"/>
  <c r="C93" i="12"/>
  <c r="D93" i="12" s="1"/>
  <c r="C94" i="12"/>
  <c r="D94" i="12" s="1"/>
  <c r="C95" i="12"/>
  <c r="D95" i="12" s="1"/>
  <c r="C96" i="12"/>
  <c r="D96" i="12" s="1"/>
  <c r="C97" i="12"/>
  <c r="D97" i="12" s="1"/>
  <c r="C98" i="12"/>
  <c r="D98" i="12" s="1"/>
  <c r="C99" i="12"/>
  <c r="D99" i="12" s="1"/>
  <c r="C100" i="12"/>
  <c r="D100" i="12" s="1"/>
  <c r="G4" i="14"/>
  <c r="G61" i="14" l="1"/>
  <c r="H61" i="14"/>
  <c r="G62" i="14"/>
  <c r="H62" i="14"/>
  <c r="G63" i="14"/>
  <c r="H63" i="14"/>
  <c r="G54" i="14"/>
  <c r="H54" i="14"/>
  <c r="G55" i="14"/>
  <c r="H55" i="14"/>
  <c r="G56" i="14"/>
  <c r="H56" i="14"/>
  <c r="G57" i="14"/>
  <c r="H57" i="14"/>
  <c r="G58" i="14"/>
  <c r="H58" i="14"/>
  <c r="G59" i="14"/>
  <c r="H59" i="14"/>
  <c r="G60" i="14"/>
  <c r="H60" i="14"/>
  <c r="G51" i="14"/>
  <c r="H51" i="14"/>
  <c r="G52" i="14"/>
  <c r="H52" i="14"/>
  <c r="G53" i="14"/>
  <c r="H53" i="14"/>
  <c r="G40" i="14"/>
  <c r="H40" i="14"/>
  <c r="G41" i="14"/>
  <c r="H41" i="14"/>
  <c r="G42" i="14"/>
  <c r="H42" i="14"/>
  <c r="G43" i="14"/>
  <c r="H43" i="14"/>
  <c r="G44" i="14"/>
  <c r="H44" i="14"/>
  <c r="G45" i="14"/>
  <c r="H45" i="14"/>
  <c r="G46" i="14"/>
  <c r="H46" i="14"/>
  <c r="G47" i="14"/>
  <c r="H47" i="14"/>
  <c r="G48" i="14"/>
  <c r="H48" i="14"/>
  <c r="G49" i="14"/>
  <c r="H49" i="14"/>
  <c r="G50" i="14"/>
  <c r="H50" i="14"/>
  <c r="H39" i="14"/>
  <c r="G39" i="14"/>
  <c r="H38" i="14"/>
  <c r="G38" i="14"/>
  <c r="H37" i="14"/>
  <c r="G37" i="14"/>
  <c r="H36" i="14"/>
  <c r="G36" i="14"/>
  <c r="H35" i="14"/>
  <c r="G35" i="14"/>
  <c r="H34" i="14"/>
  <c r="G34" i="14"/>
  <c r="H33" i="14"/>
  <c r="G33" i="14"/>
  <c r="H32" i="14"/>
  <c r="G32" i="14"/>
  <c r="H31" i="14"/>
  <c r="G31" i="14"/>
  <c r="H30" i="14"/>
  <c r="G30" i="14"/>
  <c r="H29" i="14"/>
  <c r="G29" i="14"/>
  <c r="H28" i="14"/>
  <c r="G28" i="14"/>
  <c r="H27" i="14"/>
  <c r="G27" i="14"/>
  <c r="H26" i="14"/>
  <c r="G26" i="14"/>
  <c r="H25" i="14"/>
  <c r="G25" i="14"/>
  <c r="H24" i="14"/>
  <c r="G24" i="14"/>
  <c r="H23" i="14"/>
  <c r="G23" i="14"/>
  <c r="H22" i="14"/>
  <c r="G22" i="14"/>
  <c r="H21" i="14"/>
  <c r="G21" i="14"/>
  <c r="H20" i="14"/>
  <c r="G20" i="14"/>
  <c r="H19" i="14"/>
  <c r="G19" i="14"/>
  <c r="H18" i="14"/>
  <c r="G18" i="14"/>
  <c r="H17" i="14"/>
  <c r="G17" i="14"/>
  <c r="H16" i="14"/>
  <c r="G16" i="14"/>
  <c r="H15" i="14"/>
  <c r="G15" i="14"/>
  <c r="H14" i="14"/>
  <c r="G14" i="14"/>
  <c r="H13" i="14"/>
  <c r="G13" i="14"/>
  <c r="H12" i="14"/>
  <c r="G12" i="14"/>
  <c r="H11" i="14"/>
  <c r="G11" i="14"/>
  <c r="H10" i="14"/>
  <c r="G10" i="14"/>
  <c r="H9" i="14"/>
  <c r="G9" i="14"/>
  <c r="H8" i="14"/>
  <c r="G8" i="14"/>
  <c r="H7" i="14"/>
  <c r="G7" i="14"/>
  <c r="H6" i="14"/>
  <c r="G6" i="14"/>
  <c r="H5" i="14"/>
  <c r="G5" i="14"/>
  <c r="H4" i="14"/>
  <c r="F11" i="14" l="1"/>
  <c r="F12" i="14" s="1"/>
  <c r="F13" i="14" s="1"/>
  <c r="F5" i="14"/>
  <c r="F6" i="14" s="1"/>
  <c r="F7" i="14" s="1"/>
  <c r="F8" i="14" s="1"/>
  <c r="F9" i="14" s="1"/>
  <c r="F10" i="14" s="1"/>
  <c r="F14" i="14"/>
  <c r="F15" i="14" s="1"/>
  <c r="F16" i="14" s="1"/>
  <c r="F17" i="14" s="1"/>
  <c r="F18" i="14" s="1"/>
  <c r="F19" i="14" s="1"/>
  <c r="F20" i="14" s="1"/>
  <c r="F21" i="14" s="1"/>
  <c r="F22" i="14" s="1"/>
  <c r="F23" i="14" s="1"/>
  <c r="F24" i="14" s="1"/>
  <c r="F25" i="14" s="1"/>
  <c r="F26" i="14" s="1"/>
  <c r="F27" i="14" s="1"/>
  <c r="F28" i="14" s="1"/>
  <c r="F29" i="14" s="1"/>
  <c r="F30" i="14" s="1"/>
  <c r="F31" i="14" s="1"/>
  <c r="F32" i="14" s="1"/>
  <c r="F33" i="14" s="1"/>
  <c r="F34" i="14" s="1"/>
  <c r="F35" i="14" s="1"/>
  <c r="F36" i="14" s="1"/>
  <c r="F37" i="14" s="1"/>
  <c r="F38" i="14" s="1"/>
  <c r="F39" i="14" s="1"/>
  <c r="F40" i="14" s="1"/>
  <c r="F41" i="14" s="1"/>
  <c r="F42" i="14" s="1"/>
  <c r="F43" i="14" s="1"/>
  <c r="F44" i="14" s="1"/>
  <c r="F45" i="14" s="1"/>
  <c r="F46" i="14" s="1"/>
  <c r="F47" i="14" s="1"/>
  <c r="F48" i="14" s="1"/>
  <c r="F49" i="14" s="1"/>
  <c r="F50" i="14" s="1"/>
  <c r="F51" i="14" s="1"/>
  <c r="F52" i="14" s="1"/>
  <c r="F53" i="14" s="1"/>
  <c r="F54" i="14" s="1"/>
  <c r="F55" i="14" s="1"/>
  <c r="F56" i="14" s="1"/>
  <c r="F57" i="14" s="1"/>
  <c r="F58" i="14" s="1"/>
  <c r="F59" i="14" s="1"/>
  <c r="F60" i="14" s="1"/>
  <c r="F61" i="14" s="1"/>
  <c r="F62" i="14" s="1"/>
  <c r="F63" i="14" s="1"/>
  <c r="D12" i="12"/>
  <c r="C34" i="12" l="1"/>
  <c r="D34" i="12" s="1"/>
</calcChain>
</file>

<file path=xl/sharedStrings.xml><?xml version="1.0" encoding="utf-8"?>
<sst xmlns="http://schemas.openxmlformats.org/spreadsheetml/2006/main" count="529" uniqueCount="98">
  <si>
    <t>Domanov</t>
  </si>
  <si>
    <t>Topspin1985</t>
  </si>
  <si>
    <t>Carlito</t>
  </si>
  <si>
    <t>Salvatore</t>
  </si>
  <si>
    <t>Ranking</t>
  </si>
  <si>
    <t>Utente</t>
  </si>
  <si>
    <t>Punti</t>
  </si>
  <si>
    <t>Il tuo copia e incolla nella tab INCOLLA QUI è</t>
  </si>
  <si>
    <t>Incollare la nuova giornata nella tab INCOLLA QUI.</t>
  </si>
  <si>
    <t>Premere il tasto rosso per ripulire la tab INCOLLA QUI</t>
  </si>
  <si>
    <t>Quando il copia e incolla del punto 2 è corretto, tornare nella tab INCOLLA QUI</t>
  </si>
  <si>
    <t>ed effettuare un Replace/Sostituisci come da screenshot qui a destra.</t>
  </si>
  <si>
    <t>L'idea e' di sostituire il qualsiasi contenuto (asterisco) di ogni cella verde</t>
  </si>
  <si>
    <t>con la parola AZZECCATO, creando quindi un modo di contare</t>
  </si>
  <si>
    <t>le celle verdi che rappresentano un risultato predetto correttamente.</t>
  </si>
  <si>
    <t>Ritornare in questa tab dopo aver controllato che tutte le celle verdi</t>
  </si>
  <si>
    <t>contengono "AZZECCATO" e inserire il punteggio di ogni partita azzeccata</t>
  </si>
  <si>
    <t>nella cella D25</t>
  </si>
  <si>
    <t>Una volta inserito il punteggio, premere il tasto verde qui sotto</t>
  </si>
  <si>
    <t>Partecipante</t>
  </si>
  <si>
    <t>Punteggio</t>
  </si>
  <si>
    <t>Sum of Punteggio</t>
  </si>
  <si>
    <t>CLASSIFICA</t>
  </si>
  <si>
    <t>Etichette di riga</t>
  </si>
  <si>
    <t>(vuoto)</t>
  </si>
  <si>
    <t>Informazioni cronologiche</t>
  </si>
  <si>
    <t>Indirizzo email</t>
  </si>
  <si>
    <t>1. Steve Johnson vs Roger Federer</t>
  </si>
  <si>
    <t>2. Jan-Lennard Struff vs Novak Djokovic</t>
  </si>
  <si>
    <t>3. Denis Shapovalov vs Marton Fucsovics</t>
  </si>
  <si>
    <t>4. Stefanos Tsitsipas vs Salvatore Caruso</t>
  </si>
  <si>
    <t>5. Matteo Berrettini vs Andrew Harris</t>
  </si>
  <si>
    <t>6. Juan Ignacio Londero vs Grigor Dimitrov</t>
  </si>
  <si>
    <t>7. Sam Querrey vs Borna Coric</t>
  </si>
  <si>
    <t>8. Reilly Opelka vs Fabio Fognini</t>
  </si>
  <si>
    <t>9. Jordan Thompson vs Alexander Bublik</t>
  </si>
  <si>
    <t>10. John Millman vs Ugo Humbert</t>
  </si>
  <si>
    <t>11. Marin Cilic vs Corentin Moutet</t>
  </si>
  <si>
    <t>12. Philipp Kohlschreiber vs Marcos Giron</t>
  </si>
  <si>
    <t>13. Jannik Sinner vs Max Purcell</t>
  </si>
  <si>
    <t>14. Diego Schwartzman vs Lloyd Harris</t>
  </si>
  <si>
    <t>15. Guido Pella vs John-Patrick Smith</t>
  </si>
  <si>
    <t>16. Marc Polmans vs Mikhail Kukushkin</t>
  </si>
  <si>
    <t>17. Mohamed Safwat vs Gregoire Barrere</t>
  </si>
  <si>
    <t>18. Alejandro Davidovich Fokina vs Norbert Gombos</t>
  </si>
  <si>
    <t>19. Cristian Garin vs Stefano Travaglia</t>
  </si>
  <si>
    <t>20. Leonardo Mayer vs Tommy Paul</t>
  </si>
  <si>
    <t>21. Roberto Carballes Baena vs Ricardas Berankis</t>
  </si>
  <si>
    <t>22. Tatsuma Ito vs Prajnesh Gunneswaran</t>
  </si>
  <si>
    <t>23. Feliciano Lopez vs Roberto Bautista Agut</t>
  </si>
  <si>
    <t>24. Pablo Andujar vs Michael Mmoh</t>
  </si>
  <si>
    <t>25. Daniel Evans vs Mackenzie McDonald</t>
  </si>
  <si>
    <t>26. Tennys Sandgren vs Marco Trungelliti</t>
  </si>
  <si>
    <t>27. Yoshihito Nishioka vs Laslo Djere</t>
  </si>
  <si>
    <t>28. Kyle Edmund vs Dusan Lajovic</t>
  </si>
  <si>
    <t>29. Radu Albot vs Milos Raonic</t>
  </si>
  <si>
    <t>30. Hubert Hurkacz vs Dennis Novak</t>
  </si>
  <si>
    <t>31. Quentin Halys vs Filip Krajinovic</t>
  </si>
  <si>
    <t>32. Benoit Paire vs Cedrik-Marcel Stebe</t>
  </si>
  <si>
    <t>19/01/2020 14.51.21</t>
  </si>
  <si>
    <t>Klasen78</t>
  </si>
  <si>
    <t>Alexander Bublik</t>
  </si>
  <si>
    <t>Ugo Humbert</t>
  </si>
  <si>
    <t>Corentin Moutet</t>
  </si>
  <si>
    <t>Mikhail Kukushkin</t>
  </si>
  <si>
    <t>Leonardo Mayer</t>
  </si>
  <si>
    <t>Roberto Carballes Baena</t>
  </si>
  <si>
    <t>Pablo Andujar</t>
  </si>
  <si>
    <t>Milos Raonic</t>
  </si>
  <si>
    <t>19/01/2020 18.15.07</t>
  </si>
  <si>
    <t>Denis Shapovalov</t>
  </si>
  <si>
    <t>Borna Coric</t>
  </si>
  <si>
    <t>Prajnesh Gunneswaran</t>
  </si>
  <si>
    <t>Laslo Djere</t>
  </si>
  <si>
    <t>Dusan Lajovic</t>
  </si>
  <si>
    <t>19/01/2020 18.43.44</t>
  </si>
  <si>
    <t>Jan-Lennard Struff</t>
  </si>
  <si>
    <t>Mohamed Safwat</t>
  </si>
  <si>
    <t>Feliciano Lopez</t>
  </si>
  <si>
    <t>Mackenzie McDonald</t>
  </si>
  <si>
    <t>19/01/2020 18.44.36</t>
  </si>
  <si>
    <t>Guido RF20</t>
  </si>
  <si>
    <t>Reilly Opelka</t>
  </si>
  <si>
    <t>Marco Trungelliti</t>
  </si>
  <si>
    <t>19/01/2020 19.40.28</t>
  </si>
  <si>
    <t>Maria Isabel</t>
  </si>
  <si>
    <t>19/01/2020 21.42.35</t>
  </si>
  <si>
    <t>Lars</t>
  </si>
  <si>
    <t>Stefano Travaglia</t>
  </si>
  <si>
    <t>Radu Albot</t>
  </si>
  <si>
    <t>19/01/2020 23.40.45</t>
  </si>
  <si>
    <t>Lollo</t>
  </si>
  <si>
    <t>19/01/2020 23.46.54</t>
  </si>
  <si>
    <t>20/01/2020 0.12.03</t>
  </si>
  <si>
    <t>Vince</t>
  </si>
  <si>
    <t>20/01/2020 0.48.46</t>
  </si>
  <si>
    <t>AZZECCATO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</si>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</sst>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0"/>
      <color rgb="FF000000"/>
      <name val="Arial"/>
    </font>
    <font>
      <sz val="10"/>
      <name val="Arial"/>
      <family val="2"/>
    </font>
    <font>
      <b/>
      <sz val="12"/>
      <color rgb="FFFFFFFF"/>
      <name val="Droid Sans"/>
    </font>
    <font>
      <b/>
      <sz val="11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sz val="8"/>
      <color rgb="FF000000"/>
      <name val="Arial"/>
      <family val="2"/>
    </font>
    <font>
      <b/>
      <u/>
      <sz val="20"/>
      <color rgb="FF000000"/>
      <name val="Arial"/>
      <family val="2"/>
    </font>
    <font>
      <b/>
      <sz val="10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0000"/>
        <bgColor rgb="FFFF0000"/>
      </patternFill>
    </fill>
    <fill>
      <patternFill patternType="solid">
        <fgColor rgb="FFFFEC5C"/>
        <bgColor rgb="FFFFEC5C"/>
      </patternFill>
    </fill>
    <fill>
      <patternFill patternType="solid">
        <fgColor rgb="FF00FF00"/>
        <bgColor indexed="64"/>
      </patternFill>
    </fill>
  </fills>
  <borders count="7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1">
    <xf numFmtId="0" fontId="0" fillId="0" borderId="0"/>
  </cellStyleXfs>
  <cellXfs count="24">
    <xf numFmtId="0" fontId="0" fillId="0" borderId="0" xfId="0" applyFont="1" applyAlignment="1"/>
    <xf numFmtId="0" fontId="4" fillId="3" borderId="0" xfId="0" applyFont="1" applyFill="1" applyAlignment="1"/>
    <xf numFmtId="0" fontId="4" fillId="3" borderId="5" xfId="0" applyFont="1" applyFill="1" applyBorder="1" applyAlignment="1">
      <alignment horizontal="right"/>
    </xf>
    <xf numFmtId="0" fontId="5" fillId="0" borderId="0" xfId="0" applyFont="1" applyAlignment="1"/>
    <xf numFmtId="0" fontId="6" fillId="0" borderId="0" xfId="0" applyFont="1" applyAlignment="1"/>
    <xf numFmtId="0" fontId="7" fillId="0" borderId="0" xfId="0" applyFont="1" applyAlignment="1"/>
    <xf numFmtId="0" fontId="0" fillId="0" borderId="0" xfId="0" pivotButton="1" applyFont="1" applyAlignment="1"/>
    <xf numFmtId="0" fontId="0" fillId="0" borderId="0" xfId="0" applyFont="1" applyAlignment="1">
      <alignment horizontal="left"/>
    </xf>
    <xf numFmtId="0" fontId="0" fillId="0" borderId="0" xfId="0" applyNumberFormat="1" applyFont="1" applyAlignment="1"/>
    <xf numFmtId="0" fontId="8" fillId="0" borderId="0" xfId="0" applyFont="1" applyAlignment="1"/>
    <xf numFmtId="0" fontId="0" fillId="0" borderId="0" xfId="0" applyFont="1" applyFill="1" applyBorder="1" applyAlignment="1"/>
    <xf numFmtId="0" fontId="3" fillId="0" borderId="0" xfId="0" applyFont="1" applyFill="1" applyAlignment="1"/>
    <xf numFmtId="0" fontId="3" fillId="0" borderId="5" xfId="0" applyFont="1" applyFill="1" applyBorder="1" applyAlignment="1"/>
    <xf numFmtId="1" fontId="3" fillId="0" borderId="4" xfId="0" applyNumberFormat="1" applyFont="1" applyFill="1" applyBorder="1" applyAlignment="1"/>
    <xf numFmtId="1" fontId="4" fillId="3" borderId="4" xfId="0" applyNumberFormat="1" applyFont="1" applyFill="1" applyBorder="1" applyAlignment="1">
      <alignment horizontal="right"/>
    </xf>
    <xf numFmtId="1" fontId="0" fillId="0" borderId="0" xfId="0" applyNumberFormat="1" applyFont="1" applyAlignment="1"/>
    <xf numFmtId="0" fontId="0" fillId="0" borderId="0" xfId="0" applyFont="1" applyFill="1" applyAlignment="1"/>
    <xf numFmtId="0" fontId="2" fillId="2" borderId="1" xfId="0" applyFont="1" applyFill="1" applyBorder="1" applyAlignment="1">
      <alignment horizontal="center"/>
    </xf>
    <xf numFmtId="0" fontId="1" fillId="0" borderId="2" xfId="0" applyFont="1" applyBorder="1"/>
    <xf numFmtId="0" fontId="1" fillId="0" borderId="3" xfId="0" applyFont="1" applyBorder="1"/>
    <xf numFmtId="0" fontId="5" fillId="0" borderId="6" xfId="0" applyFont="1" applyBorder="1" applyAlignment="1">
      <alignment wrapText="1"/>
    </xf>
    <xf numFmtId="0" fontId="5" fillId="0" borderId="6" xfId="0" applyFont="1" applyBorder="1" applyAlignment="1">
      <alignment vertical="center"/>
    </xf>
    <xf numFmtId="0" fontId="5" fillId="0" borderId="6" xfId="0" applyFont="1" applyBorder="1" applyAlignment="1">
      <alignment horizontal="right" wrapText="1"/>
    </xf>
    <xf numFmtId="0" fontId="5" fillId="4" borderId="6" xfId="0" applyFont="1" applyFill="1" applyBorder="1" applyAlignment="1">
      <alignment wrapText="1"/>
    </xf>
  </cellXfs>
  <cellStyles count="1">
    <cellStyle name="Normale" xfId="0" builtinId="0"/>
  </cellStyles>
  <dxfs count="4">
    <dxf>
      <fill>
        <patternFill>
          <bgColor rgb="FFE69138"/>
        </patternFill>
      </fill>
    </dxf>
    <dxf>
      <fill>
        <patternFill>
          <bgColor rgb="FFCCCCCC"/>
        </patternFill>
      </fill>
    </dxf>
    <dxf>
      <fill>
        <patternFill>
          <bgColor rgb="FFFFEC5C"/>
        </patternFill>
      </fill>
    </dxf>
    <dxf>
      <fill>
        <patternFill>
          <bgColor rgb="FFFFE599"/>
        </patternFill>
      </fill>
    </dxf>
  </dxfs>
  <tableStyles count="0" defaultTableStyle="TableStyleMedium2" defaultPivotStyle="PivotStyleLight16"/>
  <colors>
    <mruColors>
      <color rgb="FFFFE599"/>
      <color rgb="FFE69138"/>
      <color rgb="FFCCCCCC"/>
      <color rgb="FFFFEC5C"/>
      <color rgb="FFFFCC00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276225</xdr:colOff>
      <xdr:row>3</xdr:row>
      <xdr:rowOff>57149</xdr:rowOff>
    </xdr:from>
    <xdr:to>
      <xdr:col>2</xdr:col>
      <xdr:colOff>2436225</xdr:colOff>
      <xdr:row>6</xdr:row>
      <xdr:rowOff>111374</xdr:rowOff>
    </xdr:to>
    <xdr:sp macro="[0]!Pulizia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514350" y="542924"/>
          <a:ext cx="2160000" cy="540000"/>
        </a:xfrm>
        <a:prstGeom prst="round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Premi questo tasto per ripulire</a:t>
          </a:r>
          <a:r>
            <a:rPr lang="en-GB" sz="1100" baseline="0"/>
            <a:t> la tab INCOLLA QUI</a:t>
          </a:r>
          <a:endParaRPr lang="en-GB" sz="1100"/>
        </a:p>
      </xdr:txBody>
    </xdr:sp>
    <xdr:clientData/>
  </xdr:twoCellAnchor>
  <xdr:twoCellAnchor editAs="oneCell">
    <xdr:from>
      <xdr:col>6</xdr:col>
      <xdr:colOff>85725</xdr:colOff>
      <xdr:row>12</xdr:row>
      <xdr:rowOff>47625</xdr:rowOff>
    </xdr:from>
    <xdr:to>
      <xdr:col>13</xdr:col>
      <xdr:colOff>257175</xdr:colOff>
      <xdr:row>26</xdr:row>
      <xdr:rowOff>57150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62175"/>
          <a:ext cx="4438650" cy="2447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209550</xdr:colOff>
      <xdr:row>6</xdr:row>
      <xdr:rowOff>76200</xdr:rowOff>
    </xdr:from>
    <xdr:to>
      <xdr:col>23</xdr:col>
      <xdr:colOff>276225</xdr:colOff>
      <xdr:row>33</xdr:row>
      <xdr:rowOff>152400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15425" y="1047750"/>
          <a:ext cx="6162675" cy="4791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276225</xdr:colOff>
      <xdr:row>28</xdr:row>
      <xdr:rowOff>66674</xdr:rowOff>
    </xdr:from>
    <xdr:to>
      <xdr:col>2</xdr:col>
      <xdr:colOff>2436225</xdr:colOff>
      <xdr:row>31</xdr:row>
      <xdr:rowOff>120899</xdr:rowOff>
    </xdr:to>
    <xdr:sp macro="[0]!EstrazioneRisultati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514350" y="4943474"/>
          <a:ext cx="2160000" cy="540000"/>
        </a:xfrm>
        <a:prstGeom prst="round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>
              <a:solidFill>
                <a:schemeClr val="tx2"/>
              </a:solidFill>
            </a:rPr>
            <a:t>Premi</a:t>
          </a:r>
          <a:r>
            <a:rPr lang="en-GB" sz="1100" baseline="0">
              <a:solidFill>
                <a:schemeClr val="tx2"/>
              </a:solidFill>
            </a:rPr>
            <a:t> questo tasto per  creare i risultati</a:t>
          </a:r>
          <a:endParaRPr lang="en-GB" sz="1100">
            <a:solidFill>
              <a:schemeClr val="tx2"/>
            </a:solidFill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drea" refreshedDate="43852.706592129631" createdVersion="4" refreshedVersion="6" minRefreshableVersion="3" recordCount="68" xr:uid="{00000000-000A-0000-FFFF-FFFF00000000}">
  <cacheSource type="worksheet">
    <worksheetSource ref="A1:B10000" sheet="Database"/>
  </cacheSource>
  <cacheFields count="2">
    <cacheField name="Partecipante" numFmtId="0">
      <sharedItems containsBlank="1" count="43">
        <s v="Klasen78"/>
        <s v="Domanov"/>
        <s v="Topspin1985"/>
        <s v="Guido RF20"/>
        <s v="Maria Isabel"/>
        <s v="Lars"/>
        <s v="Lollo"/>
        <s v="Salvatore"/>
        <s v="Vince"/>
        <s v="Carlito"/>
        <s v=""/>
        <m/>
        <s v="Zio Gustav" u="1"/>
        <s v="Generale" u="1"/>
        <s v="SaveMarat" u="1"/>
        <s v="Uncle" u="1"/>
        <s v="Renée" u="1"/>
        <s v="Rosy Camento" u="1"/>
        <s v="Pseudonimo1881" u="1"/>
        <s v="Nalba" u="1"/>
        <s v="Nanobagonghi" u="1"/>
        <s v="A Clockwork Orange" u="1"/>
        <s v="Wally" u="1"/>
        <s v="Visconte Cobram" u="1"/>
        <s v="Lahyani" u="1"/>
        <s v="Fausto Murizzi" u="1"/>
        <s v="Lleyton" u="1"/>
        <s v="Ghino" u="1"/>
        <s v="LucaWTA" u="1"/>
        <s v="M4r3o" u="1"/>
        <s v="Sandrino" u="1"/>
        <s v="Phoenix" u="1"/>
        <s v="Giangio" u="1"/>
        <s v="Eletto" u="1"/>
        <s v="Gibson" u="1"/>
        <s v="Waldaz" u="1"/>
        <s v="Veronica" u="1"/>
        <s v="Ziothor" u="1"/>
        <s v="MeTi90" u="1"/>
        <s v="Manuelito" u="1"/>
        <s v="Yuppie" u="1"/>
        <s v="Holden Caulfield" u="1"/>
        <s v="Djoker" u="1"/>
      </sharedItems>
    </cacheField>
    <cacheField name="Punteggio" numFmtId="0">
      <sharedItems containsBlank="1" containsMixedTypes="1" containsNumber="1" containsInteger="1" minValue="19" maxValue="2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8">
  <r>
    <x v="0"/>
    <n v="24"/>
  </r>
  <r>
    <x v="1"/>
    <n v="23"/>
  </r>
  <r>
    <x v="2"/>
    <n v="19"/>
  </r>
  <r>
    <x v="3"/>
    <n v="19"/>
  </r>
  <r>
    <x v="4"/>
    <n v="23"/>
  </r>
  <r>
    <x v="5"/>
    <n v="19"/>
  </r>
  <r>
    <x v="6"/>
    <n v="23"/>
  </r>
  <r>
    <x v="7"/>
    <n v="24"/>
  </r>
  <r>
    <x v="8"/>
    <n v="21"/>
  </r>
  <r>
    <x v="9"/>
    <n v="26"/>
  </r>
  <r>
    <x v="10"/>
    <s v=""/>
  </r>
  <r>
    <x v="10"/>
    <s v=""/>
  </r>
  <r>
    <x v="10"/>
    <s v=""/>
  </r>
  <r>
    <x v="10"/>
    <s v=""/>
  </r>
  <r>
    <x v="10"/>
    <s v=""/>
  </r>
  <r>
    <x v="10"/>
    <s v=""/>
  </r>
  <r>
    <x v="10"/>
    <s v=""/>
  </r>
  <r>
    <x v="10"/>
    <s v=""/>
  </r>
  <r>
    <x v="10"/>
    <s v=""/>
  </r>
  <r>
    <x v="10"/>
    <s v=""/>
  </r>
  <r>
    <x v="10"/>
    <s v=""/>
  </r>
  <r>
    <x v="10"/>
    <s v=""/>
  </r>
  <r>
    <x v="10"/>
    <s v=""/>
  </r>
  <r>
    <x v="10"/>
    <s v=""/>
  </r>
  <r>
    <x v="10"/>
    <s v=""/>
  </r>
  <r>
    <x v="10"/>
    <s v=""/>
  </r>
  <r>
    <x v="10"/>
    <s v=""/>
  </r>
  <r>
    <x v="10"/>
    <s v=""/>
  </r>
  <r>
    <x v="10"/>
    <s v=""/>
  </r>
  <r>
    <x v="10"/>
    <s v=""/>
  </r>
  <r>
    <x v="10"/>
    <s v=""/>
  </r>
  <r>
    <x v="10"/>
    <s v=""/>
  </r>
  <r>
    <x v="10"/>
    <s v=""/>
  </r>
  <r>
    <x v="10"/>
    <s v=""/>
  </r>
  <r>
    <x v="10"/>
    <s v=""/>
  </r>
  <r>
    <x v="10"/>
    <s v=""/>
  </r>
  <r>
    <x v="10"/>
    <s v=""/>
  </r>
  <r>
    <x v="10"/>
    <s v=""/>
  </r>
  <r>
    <x v="10"/>
    <s v=""/>
  </r>
  <r>
    <x v="10"/>
    <s v=""/>
  </r>
  <r>
    <x v="10"/>
    <s v=""/>
  </r>
  <r>
    <x v="10"/>
    <s v=""/>
  </r>
  <r>
    <x v="10"/>
    <s v=""/>
  </r>
  <r>
    <x v="10"/>
    <s v=""/>
  </r>
  <r>
    <x v="10"/>
    <s v=""/>
  </r>
  <r>
    <x v="10"/>
    <s v=""/>
  </r>
  <r>
    <x v="10"/>
    <s v=""/>
  </r>
  <r>
    <x v="10"/>
    <s v=""/>
  </r>
  <r>
    <x v="10"/>
    <s v=""/>
  </r>
  <r>
    <x v="10"/>
    <s v=""/>
  </r>
  <r>
    <x v="10"/>
    <s v=""/>
  </r>
  <r>
    <x v="10"/>
    <s v=""/>
  </r>
  <r>
    <x v="10"/>
    <s v=""/>
  </r>
  <r>
    <x v="10"/>
    <s v=""/>
  </r>
  <r>
    <x v="10"/>
    <s v=""/>
  </r>
  <r>
    <x v="10"/>
    <s v=""/>
  </r>
  <r>
    <x v="10"/>
    <s v=""/>
  </r>
  <r>
    <x v="10"/>
    <s v=""/>
  </r>
  <r>
    <x v="10"/>
    <s v=""/>
  </r>
  <r>
    <x v="10"/>
    <s v=""/>
  </r>
  <r>
    <x v="10"/>
    <s v=""/>
  </r>
  <r>
    <x v="10"/>
    <s v=""/>
  </r>
  <r>
    <x v="10"/>
    <s v=""/>
  </r>
  <r>
    <x v="10"/>
    <s v=""/>
  </r>
  <r>
    <x v="10"/>
    <s v=""/>
  </r>
  <r>
    <x v="10"/>
    <s v=""/>
  </r>
  <r>
    <x v="10"/>
    <s v=""/>
  </r>
  <r>
    <x v="11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PivotTable1" cacheId="19" applyNumberFormats="0" applyBorderFormats="0" applyFontFormats="0" applyPatternFormats="0" applyAlignmentFormats="0" applyWidthHeightFormats="1" dataCaption="Values" updatedVersion="6" minRefreshableVersion="3" useAutoFormatting="1" rowGrandTotals="0" itemPrintTitles="1" createdVersion="4" indent="0" outline="1" outlineData="1" multipleFieldFilters="0">
  <location ref="A1:B13" firstHeaderRow="1" firstDataRow="1" firstDataCol="1"/>
  <pivotFields count="2">
    <pivotField axis="axisRow" showAll="0" sortType="descending">
      <items count="44">
        <item x="10"/>
        <item m="1" x="21"/>
        <item x="9"/>
        <item m="1" x="42"/>
        <item x="1"/>
        <item m="1" x="33"/>
        <item m="1" x="25"/>
        <item m="1" x="13"/>
        <item m="1" x="27"/>
        <item m="1" x="32"/>
        <item m="1" x="34"/>
        <item m="1" x="41"/>
        <item m="1" x="24"/>
        <item m="1" x="26"/>
        <item m="1" x="28"/>
        <item m="1" x="29"/>
        <item m="1" x="39"/>
        <item m="1" x="38"/>
        <item m="1" x="19"/>
        <item m="1" x="20"/>
        <item m="1" x="31"/>
        <item m="1" x="18"/>
        <item m="1" x="16"/>
        <item m="1" x="17"/>
        <item x="7"/>
        <item m="1" x="30"/>
        <item m="1" x="14"/>
        <item x="2"/>
        <item m="1" x="15"/>
        <item m="1" x="36"/>
        <item m="1" x="23"/>
        <item m="1" x="35"/>
        <item m="1" x="22"/>
        <item m="1" x="40"/>
        <item m="1" x="12"/>
        <item m="1" x="37"/>
        <item x="11"/>
        <item x="0"/>
        <item x="3"/>
        <item x="4"/>
        <item x="5"/>
        <item x="6"/>
        <item x="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howAll="0"/>
  </pivotFields>
  <rowFields count="1">
    <field x="0"/>
  </rowFields>
  <rowItems count="12">
    <i>
      <x v="2"/>
    </i>
    <i>
      <x v="37"/>
    </i>
    <i>
      <x v="24"/>
    </i>
    <i>
      <x v="39"/>
    </i>
    <i>
      <x v="4"/>
    </i>
    <i>
      <x v="41"/>
    </i>
    <i>
      <x v="42"/>
    </i>
    <i>
      <x v="40"/>
    </i>
    <i>
      <x v="38"/>
    </i>
    <i>
      <x v="27"/>
    </i>
    <i>
      <x/>
    </i>
    <i>
      <x v="36"/>
    </i>
  </rowItems>
  <colItems count="1">
    <i/>
  </colItems>
  <dataFields count="1">
    <dataField name="Sum of Punteggio" fld="1" baseField="0" baseItem="29"/>
  </dataFields>
  <pivotTableStyleInfo name="PivotStyleLight16" showRowHeaders="1" showColHeaders="1" showRowStripes="0" showColStripes="0" showLastColumn="1"/>
  <filters count="1">
    <filter fld="0" type="captionNotContains" evalOrder="-1" id="1" stringValue1="(blank)">
      <autoFilter ref="A1">
        <filterColumn colId="0">
          <customFilters>
            <customFilter operator="notEqual" val="*(blank)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N111"/>
  <sheetViews>
    <sheetView workbookViewId="0">
      <pane ySplit="1" topLeftCell="A2" activePane="bottomLeft" state="frozen"/>
      <selection pane="bottomLeft" activeCell="B37" sqref="B37"/>
    </sheetView>
  </sheetViews>
  <sheetFormatPr defaultColWidth="14.42578125" defaultRowHeight="15.75" customHeight="1"/>
  <cols>
    <col min="1" max="19" width="21.5703125" style="10" customWidth="1"/>
    <col min="20" max="16384" width="14.42578125" style="10"/>
  </cols>
  <sheetData>
    <row r="1" spans="1:40" ht="15.75" customHeight="1" thickBot="1">
      <c r="A1" s="20" t="s">
        <v>25</v>
      </c>
      <c r="B1" s="20" t="s">
        <v>26</v>
      </c>
      <c r="C1" s="20" t="s">
        <v>27</v>
      </c>
      <c r="D1" s="20" t="s">
        <v>28</v>
      </c>
      <c r="E1" s="20" t="s">
        <v>29</v>
      </c>
      <c r="F1" s="20" t="s">
        <v>30</v>
      </c>
      <c r="G1" s="20" t="s">
        <v>31</v>
      </c>
      <c r="H1" s="20" t="s">
        <v>32</v>
      </c>
      <c r="I1" s="20" t="s">
        <v>33</v>
      </c>
      <c r="J1" s="20" t="s">
        <v>34</v>
      </c>
      <c r="K1" s="20" t="s">
        <v>35</v>
      </c>
      <c r="L1" s="20" t="s">
        <v>36</v>
      </c>
      <c r="M1" s="20" t="s">
        <v>37</v>
      </c>
      <c r="N1" s="20" t="s">
        <v>38</v>
      </c>
      <c r="O1" s="20" t="s">
        <v>39</v>
      </c>
      <c r="P1" s="20" t="s">
        <v>40</v>
      </c>
      <c r="Q1" s="20" t="s">
        <v>41</v>
      </c>
      <c r="R1" s="20" t="s">
        <v>42</v>
      </c>
      <c r="S1" s="20" t="s">
        <v>43</v>
      </c>
      <c r="T1" s="20" t="s">
        <v>44</v>
      </c>
      <c r="U1" s="20" t="s">
        <v>45</v>
      </c>
      <c r="V1" s="20" t="s">
        <v>46</v>
      </c>
      <c r="W1" s="20" t="s">
        <v>47</v>
      </c>
      <c r="X1" s="20" t="s">
        <v>48</v>
      </c>
      <c r="Y1" s="20" t="s">
        <v>49</v>
      </c>
      <c r="Z1" s="20" t="s">
        <v>50</v>
      </c>
      <c r="AA1" s="20" t="s">
        <v>51</v>
      </c>
      <c r="AB1" s="20" t="s">
        <v>52</v>
      </c>
      <c r="AC1" s="20" t="s">
        <v>53</v>
      </c>
      <c r="AD1" s="20" t="s">
        <v>54</v>
      </c>
      <c r="AE1" s="20" t="s">
        <v>55</v>
      </c>
      <c r="AF1" s="20" t="s">
        <v>56</v>
      </c>
      <c r="AG1" s="20" t="s">
        <v>57</v>
      </c>
      <c r="AH1" s="21" t="s">
        <v>58</v>
      </c>
      <c r="AI1" s="20"/>
      <c r="AJ1" s="20"/>
      <c r="AK1" s="20"/>
      <c r="AL1" s="20"/>
      <c r="AM1" s="20"/>
      <c r="AN1" s="20"/>
    </row>
    <row r="2" spans="1:40" ht="15.75" customHeight="1" thickBot="1">
      <c r="A2" s="22" t="s">
        <v>59</v>
      </c>
      <c r="B2" s="20" t="s">
        <v>60</v>
      </c>
      <c r="C2" s="23" t="s">
        <v>96</v>
      </c>
      <c r="D2" s="23" t="s">
        <v>96</v>
      </c>
      <c r="E2" s="23" t="s">
        <v>96</v>
      </c>
      <c r="F2" s="23" t="s">
        <v>96</v>
      </c>
      <c r="G2" s="23" t="s">
        <v>96</v>
      </c>
      <c r="H2" s="23" t="s">
        <v>96</v>
      </c>
      <c r="I2" s="23" t="s">
        <v>96</v>
      </c>
      <c r="J2" s="23" t="s">
        <v>96</v>
      </c>
      <c r="K2" s="20" t="s">
        <v>61</v>
      </c>
      <c r="L2" s="20" t="s">
        <v>62</v>
      </c>
      <c r="M2" s="20" t="s">
        <v>63</v>
      </c>
      <c r="N2" s="23" t="s">
        <v>96</v>
      </c>
      <c r="O2" s="23" t="s">
        <v>96</v>
      </c>
      <c r="P2" s="23" t="s">
        <v>96</v>
      </c>
      <c r="Q2" s="23" t="s">
        <v>96</v>
      </c>
      <c r="R2" s="20" t="s">
        <v>64</v>
      </c>
      <c r="S2" s="23" t="s">
        <v>96</v>
      </c>
      <c r="T2" s="23" t="s">
        <v>96</v>
      </c>
      <c r="U2" s="23" t="s">
        <v>96</v>
      </c>
      <c r="V2" s="20" t="s">
        <v>65</v>
      </c>
      <c r="W2" s="20" t="s">
        <v>66</v>
      </c>
      <c r="X2" s="23" t="s">
        <v>96</v>
      </c>
      <c r="Y2" s="23" t="s">
        <v>96</v>
      </c>
      <c r="Z2" s="20" t="s">
        <v>67</v>
      </c>
      <c r="AA2" s="23" t="s">
        <v>96</v>
      </c>
      <c r="AB2" s="23" t="s">
        <v>96</v>
      </c>
      <c r="AC2" s="23" t="s">
        <v>96</v>
      </c>
      <c r="AD2" s="23" t="s">
        <v>96</v>
      </c>
      <c r="AE2" s="20" t="s">
        <v>68</v>
      </c>
      <c r="AF2" s="23" t="s">
        <v>96</v>
      </c>
      <c r="AG2" s="23" t="s">
        <v>96</v>
      </c>
      <c r="AH2" s="23" t="s">
        <v>96</v>
      </c>
      <c r="AI2" s="20"/>
      <c r="AJ2" s="20"/>
      <c r="AK2" s="20"/>
      <c r="AL2" s="20"/>
      <c r="AM2" s="20"/>
      <c r="AN2" s="20"/>
    </row>
    <row r="3" spans="1:40" ht="15.75" customHeight="1" thickBot="1">
      <c r="A3" s="22" t="s">
        <v>69</v>
      </c>
      <c r="B3" s="20" t="s">
        <v>0</v>
      </c>
      <c r="C3" s="23" t="s">
        <v>96</v>
      </c>
      <c r="D3" s="23" t="s">
        <v>96</v>
      </c>
      <c r="E3" s="20" t="s">
        <v>70</v>
      </c>
      <c r="F3" s="23" t="s">
        <v>96</v>
      </c>
      <c r="G3" s="23" t="s">
        <v>96</v>
      </c>
      <c r="H3" s="23" t="s">
        <v>96</v>
      </c>
      <c r="I3" s="20" t="s">
        <v>71</v>
      </c>
      <c r="J3" s="23" t="s">
        <v>96</v>
      </c>
      <c r="K3" s="23" t="s">
        <v>96</v>
      </c>
      <c r="L3" s="20" t="s">
        <v>62</v>
      </c>
      <c r="M3" s="23" t="s">
        <v>96</v>
      </c>
      <c r="N3" s="23" t="s">
        <v>96</v>
      </c>
      <c r="O3" s="23" t="s">
        <v>96</v>
      </c>
      <c r="P3" s="23" t="s">
        <v>96</v>
      </c>
      <c r="Q3" s="23" t="s">
        <v>96</v>
      </c>
      <c r="R3" s="20" t="s">
        <v>64</v>
      </c>
      <c r="S3" s="23" t="s">
        <v>96</v>
      </c>
      <c r="T3" s="23" t="s">
        <v>96</v>
      </c>
      <c r="U3" s="23" t="s">
        <v>96</v>
      </c>
      <c r="V3" s="23" t="s">
        <v>96</v>
      </c>
      <c r="W3" s="23" t="s">
        <v>96</v>
      </c>
      <c r="X3" s="20" t="s">
        <v>72</v>
      </c>
      <c r="Y3" s="23" t="s">
        <v>96</v>
      </c>
      <c r="Z3" s="20" t="s">
        <v>67</v>
      </c>
      <c r="AA3" s="23" t="s">
        <v>96</v>
      </c>
      <c r="AB3" s="23" t="s">
        <v>96</v>
      </c>
      <c r="AC3" s="20" t="s">
        <v>73</v>
      </c>
      <c r="AD3" s="20" t="s">
        <v>74</v>
      </c>
      <c r="AE3" s="20" t="s">
        <v>68</v>
      </c>
      <c r="AF3" s="23" t="s">
        <v>96</v>
      </c>
      <c r="AG3" s="23" t="s">
        <v>96</v>
      </c>
      <c r="AH3" s="23" t="s">
        <v>96</v>
      </c>
      <c r="AI3" s="20"/>
      <c r="AJ3" s="20"/>
      <c r="AK3" s="20"/>
      <c r="AL3" s="20"/>
      <c r="AM3" s="20"/>
      <c r="AN3" s="20"/>
    </row>
    <row r="4" spans="1:40" ht="15.75" customHeight="1" thickBot="1">
      <c r="A4" s="22" t="s">
        <v>75</v>
      </c>
      <c r="B4" s="20" t="s">
        <v>1</v>
      </c>
      <c r="C4" s="23" t="s">
        <v>96</v>
      </c>
      <c r="D4" s="20" t="s">
        <v>76</v>
      </c>
      <c r="E4" s="20" t="s">
        <v>70</v>
      </c>
      <c r="F4" s="23" t="s">
        <v>96</v>
      </c>
      <c r="G4" s="23" t="s">
        <v>96</v>
      </c>
      <c r="H4" s="23" t="s">
        <v>96</v>
      </c>
      <c r="I4" s="20" t="s">
        <v>71</v>
      </c>
      <c r="J4" s="23" t="s">
        <v>96</v>
      </c>
      <c r="K4" s="23" t="s">
        <v>96</v>
      </c>
      <c r="L4" s="23" t="s">
        <v>96</v>
      </c>
      <c r="M4" s="23" t="s">
        <v>96</v>
      </c>
      <c r="N4" s="23" t="s">
        <v>96</v>
      </c>
      <c r="O4" s="23" t="s">
        <v>96</v>
      </c>
      <c r="P4" s="23" t="s">
        <v>96</v>
      </c>
      <c r="Q4" s="23" t="s">
        <v>96</v>
      </c>
      <c r="R4" s="20" t="s">
        <v>64</v>
      </c>
      <c r="S4" s="20" t="s">
        <v>77</v>
      </c>
      <c r="T4" s="23" t="s">
        <v>96</v>
      </c>
      <c r="U4" s="23" t="s">
        <v>96</v>
      </c>
      <c r="V4" s="20" t="s">
        <v>65</v>
      </c>
      <c r="W4" s="20" t="s">
        <v>66</v>
      </c>
      <c r="X4" s="20" t="s">
        <v>72</v>
      </c>
      <c r="Y4" s="20" t="s">
        <v>78</v>
      </c>
      <c r="Z4" s="20" t="s">
        <v>67</v>
      </c>
      <c r="AA4" s="20" t="s">
        <v>79</v>
      </c>
      <c r="AB4" s="23" t="s">
        <v>96</v>
      </c>
      <c r="AC4" s="23" t="s">
        <v>96</v>
      </c>
      <c r="AD4" s="20" t="s">
        <v>74</v>
      </c>
      <c r="AE4" s="20" t="s">
        <v>68</v>
      </c>
      <c r="AF4" s="23" t="s">
        <v>96</v>
      </c>
      <c r="AG4" s="23" t="s">
        <v>96</v>
      </c>
      <c r="AH4" s="23" t="s">
        <v>96</v>
      </c>
      <c r="AI4" s="20"/>
      <c r="AJ4" s="20"/>
      <c r="AK4" s="20"/>
      <c r="AL4" s="20"/>
      <c r="AM4" s="20"/>
      <c r="AN4" s="20"/>
    </row>
    <row r="5" spans="1:40" ht="15.75" customHeight="1" thickBot="1">
      <c r="A5" s="22" t="s">
        <v>80</v>
      </c>
      <c r="B5" s="20" t="s">
        <v>81</v>
      </c>
      <c r="C5" s="23" t="s">
        <v>96</v>
      </c>
      <c r="D5" s="23" t="s">
        <v>96</v>
      </c>
      <c r="E5" s="20" t="s">
        <v>70</v>
      </c>
      <c r="F5" s="23" t="s">
        <v>96</v>
      </c>
      <c r="G5" s="23" t="s">
        <v>96</v>
      </c>
      <c r="H5" s="23" t="s">
        <v>96</v>
      </c>
      <c r="I5" s="20" t="s">
        <v>71</v>
      </c>
      <c r="J5" s="20" t="s">
        <v>82</v>
      </c>
      <c r="K5" s="20" t="s">
        <v>61</v>
      </c>
      <c r="L5" s="20" t="s">
        <v>62</v>
      </c>
      <c r="M5" s="20" t="s">
        <v>63</v>
      </c>
      <c r="N5" s="23" t="s">
        <v>96</v>
      </c>
      <c r="O5" s="23" t="s">
        <v>96</v>
      </c>
      <c r="P5" s="23" t="s">
        <v>96</v>
      </c>
      <c r="Q5" s="23" t="s">
        <v>96</v>
      </c>
      <c r="R5" s="20" t="s">
        <v>64</v>
      </c>
      <c r="S5" s="23" t="s">
        <v>96</v>
      </c>
      <c r="T5" s="23" t="s">
        <v>96</v>
      </c>
      <c r="U5" s="23" t="s">
        <v>96</v>
      </c>
      <c r="V5" s="23" t="s">
        <v>96</v>
      </c>
      <c r="W5" s="23" t="s">
        <v>96</v>
      </c>
      <c r="X5" s="20" t="s">
        <v>72</v>
      </c>
      <c r="Y5" s="23" t="s">
        <v>96</v>
      </c>
      <c r="Z5" s="20" t="s">
        <v>67</v>
      </c>
      <c r="AA5" s="20" t="s">
        <v>79</v>
      </c>
      <c r="AB5" s="20" t="s">
        <v>83</v>
      </c>
      <c r="AC5" s="20" t="s">
        <v>73</v>
      </c>
      <c r="AD5" s="23" t="s">
        <v>96</v>
      </c>
      <c r="AE5" s="20" t="s">
        <v>68</v>
      </c>
      <c r="AF5" s="23" t="s">
        <v>96</v>
      </c>
      <c r="AG5" s="23" t="s">
        <v>96</v>
      </c>
      <c r="AH5" s="23" t="s">
        <v>96</v>
      </c>
      <c r="AI5" s="20"/>
      <c r="AJ5" s="20"/>
      <c r="AK5" s="20"/>
      <c r="AL5" s="20"/>
      <c r="AM5" s="20"/>
      <c r="AN5" s="20"/>
    </row>
    <row r="6" spans="1:40" ht="15.75" customHeight="1" thickBot="1">
      <c r="A6" s="22" t="s">
        <v>84</v>
      </c>
      <c r="B6" s="20" t="s">
        <v>85</v>
      </c>
      <c r="C6" s="23" t="s">
        <v>96</v>
      </c>
      <c r="D6" s="23" t="s">
        <v>96</v>
      </c>
      <c r="E6" s="20" t="s">
        <v>70</v>
      </c>
      <c r="F6" s="23" t="s">
        <v>96</v>
      </c>
      <c r="G6" s="23" t="s">
        <v>96</v>
      </c>
      <c r="H6" s="23" t="s">
        <v>96</v>
      </c>
      <c r="I6" s="23" t="s">
        <v>96</v>
      </c>
      <c r="J6" s="23" t="s">
        <v>96</v>
      </c>
      <c r="K6" s="23" t="s">
        <v>96</v>
      </c>
      <c r="L6" s="23" t="s">
        <v>96</v>
      </c>
      <c r="M6" s="23" t="s">
        <v>96</v>
      </c>
      <c r="N6" s="23" t="s">
        <v>96</v>
      </c>
      <c r="O6" s="23" t="s">
        <v>96</v>
      </c>
      <c r="P6" s="23" t="s">
        <v>96</v>
      </c>
      <c r="Q6" s="23" t="s">
        <v>96</v>
      </c>
      <c r="R6" s="23" t="s">
        <v>96</v>
      </c>
      <c r="S6" s="23" t="s">
        <v>96</v>
      </c>
      <c r="T6" s="23" t="s">
        <v>96</v>
      </c>
      <c r="U6" s="23" t="s">
        <v>96</v>
      </c>
      <c r="V6" s="20" t="s">
        <v>65</v>
      </c>
      <c r="W6" s="20" t="s">
        <v>66</v>
      </c>
      <c r="X6" s="20" t="s">
        <v>72</v>
      </c>
      <c r="Y6" s="23" t="s">
        <v>96</v>
      </c>
      <c r="Z6" s="20" t="s">
        <v>67</v>
      </c>
      <c r="AA6" s="20" t="s">
        <v>79</v>
      </c>
      <c r="AB6" s="20" t="s">
        <v>83</v>
      </c>
      <c r="AC6" s="23" t="s">
        <v>96</v>
      </c>
      <c r="AD6" s="20" t="s">
        <v>74</v>
      </c>
      <c r="AE6" s="20" t="s">
        <v>68</v>
      </c>
      <c r="AF6" s="23" t="s">
        <v>96</v>
      </c>
      <c r="AG6" s="23" t="s">
        <v>96</v>
      </c>
      <c r="AH6" s="23" t="s">
        <v>96</v>
      </c>
      <c r="AI6" s="20"/>
      <c r="AJ6" s="20"/>
      <c r="AK6" s="20"/>
      <c r="AL6" s="20"/>
      <c r="AM6" s="20"/>
      <c r="AN6" s="20"/>
    </row>
    <row r="7" spans="1:40" ht="15.75" customHeight="1" thickBot="1">
      <c r="A7" s="22" t="s">
        <v>86</v>
      </c>
      <c r="B7" s="20" t="s">
        <v>87</v>
      </c>
      <c r="C7" s="23" t="s">
        <v>96</v>
      </c>
      <c r="D7" s="23" t="s">
        <v>96</v>
      </c>
      <c r="E7" s="20" t="s">
        <v>70</v>
      </c>
      <c r="F7" s="23" t="s">
        <v>96</v>
      </c>
      <c r="G7" s="23" t="s">
        <v>96</v>
      </c>
      <c r="H7" s="23" t="s">
        <v>96</v>
      </c>
      <c r="I7" s="20" t="s">
        <v>71</v>
      </c>
      <c r="J7" s="20" t="s">
        <v>82</v>
      </c>
      <c r="K7" s="23" t="s">
        <v>96</v>
      </c>
      <c r="L7" s="20" t="s">
        <v>62</v>
      </c>
      <c r="M7" s="20" t="s">
        <v>63</v>
      </c>
      <c r="N7" s="23" t="s">
        <v>96</v>
      </c>
      <c r="O7" s="23" t="s">
        <v>96</v>
      </c>
      <c r="P7" s="23" t="s">
        <v>96</v>
      </c>
      <c r="Q7" s="23" t="s">
        <v>96</v>
      </c>
      <c r="R7" s="20" t="s">
        <v>64</v>
      </c>
      <c r="S7" s="23" t="s">
        <v>96</v>
      </c>
      <c r="T7" s="23" t="s">
        <v>96</v>
      </c>
      <c r="U7" s="20" t="s">
        <v>88</v>
      </c>
      <c r="V7" s="20" t="s">
        <v>65</v>
      </c>
      <c r="W7" s="20" t="s">
        <v>66</v>
      </c>
      <c r="X7" s="20" t="s">
        <v>72</v>
      </c>
      <c r="Y7" s="23" t="s">
        <v>96</v>
      </c>
      <c r="Z7" s="20" t="s">
        <v>67</v>
      </c>
      <c r="AA7" s="23" t="s">
        <v>96</v>
      </c>
      <c r="AB7" s="23" t="s">
        <v>96</v>
      </c>
      <c r="AC7" s="20" t="s">
        <v>73</v>
      </c>
      <c r="AD7" s="23" t="s">
        <v>96</v>
      </c>
      <c r="AE7" s="20" t="s">
        <v>89</v>
      </c>
      <c r="AF7" s="23" t="s">
        <v>96</v>
      </c>
      <c r="AG7" s="23" t="s">
        <v>96</v>
      </c>
      <c r="AH7" s="23" t="s">
        <v>96</v>
      </c>
      <c r="AI7" s="20"/>
      <c r="AJ7" s="20"/>
      <c r="AK7" s="20"/>
      <c r="AL7" s="20"/>
      <c r="AM7" s="20"/>
      <c r="AN7" s="20"/>
    </row>
    <row r="8" spans="1:40" ht="15.75" customHeight="1" thickBot="1">
      <c r="A8" s="22" t="s">
        <v>90</v>
      </c>
      <c r="B8" s="20" t="s">
        <v>91</v>
      </c>
      <c r="C8" s="23" t="s">
        <v>96</v>
      </c>
      <c r="D8" s="23" t="s">
        <v>96</v>
      </c>
      <c r="E8" s="20" t="s">
        <v>70</v>
      </c>
      <c r="F8" s="23" t="s">
        <v>96</v>
      </c>
      <c r="G8" s="23" t="s">
        <v>96</v>
      </c>
      <c r="H8" s="23" t="s">
        <v>96</v>
      </c>
      <c r="I8" s="23" t="s">
        <v>96</v>
      </c>
      <c r="J8" s="23" t="s">
        <v>96</v>
      </c>
      <c r="K8" s="20" t="s">
        <v>61</v>
      </c>
      <c r="L8" s="20" t="s">
        <v>62</v>
      </c>
      <c r="M8" s="23" t="s">
        <v>96</v>
      </c>
      <c r="N8" s="23" t="s">
        <v>96</v>
      </c>
      <c r="O8" s="23" t="s">
        <v>96</v>
      </c>
      <c r="P8" s="23" t="s">
        <v>96</v>
      </c>
      <c r="Q8" s="23" t="s">
        <v>96</v>
      </c>
      <c r="R8" s="20" t="s">
        <v>64</v>
      </c>
      <c r="S8" s="23" t="s">
        <v>96</v>
      </c>
      <c r="T8" s="23" t="s">
        <v>96</v>
      </c>
      <c r="U8" s="20" t="s">
        <v>88</v>
      </c>
      <c r="V8" s="20" t="s">
        <v>65</v>
      </c>
      <c r="W8" s="23" t="s">
        <v>96</v>
      </c>
      <c r="X8" s="20" t="s">
        <v>72</v>
      </c>
      <c r="Y8" s="23" t="s">
        <v>96</v>
      </c>
      <c r="Z8" s="20" t="s">
        <v>67</v>
      </c>
      <c r="AA8" s="23" t="s">
        <v>96</v>
      </c>
      <c r="AB8" s="23" t="s">
        <v>96</v>
      </c>
      <c r="AC8" s="23" t="s">
        <v>96</v>
      </c>
      <c r="AD8" s="23" t="s">
        <v>96</v>
      </c>
      <c r="AE8" s="20" t="s">
        <v>68</v>
      </c>
      <c r="AF8" s="23" t="s">
        <v>96</v>
      </c>
      <c r="AG8" s="23" t="s">
        <v>96</v>
      </c>
      <c r="AH8" s="23" t="s">
        <v>96</v>
      </c>
      <c r="AI8" s="20"/>
      <c r="AJ8" s="20"/>
      <c r="AK8" s="20"/>
      <c r="AL8" s="20"/>
      <c r="AM8" s="20"/>
      <c r="AN8" s="20"/>
    </row>
    <row r="9" spans="1:40" ht="15.75" customHeight="1" thickBot="1">
      <c r="A9" s="22" t="s">
        <v>92</v>
      </c>
      <c r="B9" s="20" t="s">
        <v>3</v>
      </c>
      <c r="C9" s="23" t="s">
        <v>96</v>
      </c>
      <c r="D9" s="23" t="s">
        <v>96</v>
      </c>
      <c r="E9" s="20" t="s">
        <v>70</v>
      </c>
      <c r="F9" s="23" t="s">
        <v>96</v>
      </c>
      <c r="G9" s="23" t="s">
        <v>96</v>
      </c>
      <c r="H9" s="23" t="s">
        <v>96</v>
      </c>
      <c r="I9" s="20" t="s">
        <v>71</v>
      </c>
      <c r="J9" s="20" t="s">
        <v>82</v>
      </c>
      <c r="K9" s="20" t="s">
        <v>61</v>
      </c>
      <c r="L9" s="20" t="s">
        <v>62</v>
      </c>
      <c r="M9" s="23" t="s">
        <v>96</v>
      </c>
      <c r="N9" s="23" t="s">
        <v>96</v>
      </c>
      <c r="O9" s="23" t="s">
        <v>96</v>
      </c>
      <c r="P9" s="23" t="s">
        <v>96</v>
      </c>
      <c r="Q9" s="23" t="s">
        <v>96</v>
      </c>
      <c r="R9" s="20" t="s">
        <v>64</v>
      </c>
      <c r="S9" s="23" t="s">
        <v>96</v>
      </c>
      <c r="T9" s="23" t="s">
        <v>96</v>
      </c>
      <c r="U9" s="23" t="s">
        <v>96</v>
      </c>
      <c r="V9" s="23" t="s">
        <v>96</v>
      </c>
      <c r="W9" s="23" t="s">
        <v>96</v>
      </c>
      <c r="X9" s="20" t="s">
        <v>72</v>
      </c>
      <c r="Y9" s="23" t="s">
        <v>96</v>
      </c>
      <c r="Z9" s="23" t="s">
        <v>96</v>
      </c>
      <c r="AA9" s="23" t="s">
        <v>96</v>
      </c>
      <c r="AB9" s="23" t="s">
        <v>96</v>
      </c>
      <c r="AC9" s="23" t="s">
        <v>96</v>
      </c>
      <c r="AD9" s="23" t="s">
        <v>96</v>
      </c>
      <c r="AE9" s="20" t="s">
        <v>68</v>
      </c>
      <c r="AF9" s="23" t="s">
        <v>96</v>
      </c>
      <c r="AG9" s="23" t="s">
        <v>96</v>
      </c>
      <c r="AH9" s="23" t="s">
        <v>96</v>
      </c>
      <c r="AI9" s="20"/>
      <c r="AJ9" s="20"/>
      <c r="AK9" s="20"/>
      <c r="AL9" s="20"/>
      <c r="AM9" s="20"/>
      <c r="AN9" s="20"/>
    </row>
    <row r="10" spans="1:40" ht="15.75" customHeight="1" thickBot="1">
      <c r="A10" s="22" t="s">
        <v>93</v>
      </c>
      <c r="B10" s="20" t="s">
        <v>94</v>
      </c>
      <c r="C10" s="23" t="s">
        <v>96</v>
      </c>
      <c r="D10" s="23" t="s">
        <v>96</v>
      </c>
      <c r="E10" s="20" t="s">
        <v>70</v>
      </c>
      <c r="F10" s="23" t="s">
        <v>96</v>
      </c>
      <c r="G10" s="23" t="s">
        <v>96</v>
      </c>
      <c r="H10" s="23" t="s">
        <v>96</v>
      </c>
      <c r="I10" s="20" t="s">
        <v>71</v>
      </c>
      <c r="J10" s="20" t="s">
        <v>82</v>
      </c>
      <c r="K10" s="23" t="s">
        <v>96</v>
      </c>
      <c r="L10" s="20" t="s">
        <v>62</v>
      </c>
      <c r="M10" s="23" t="s">
        <v>96</v>
      </c>
      <c r="N10" s="23" t="s">
        <v>96</v>
      </c>
      <c r="O10" s="23" t="s">
        <v>96</v>
      </c>
      <c r="P10" s="23" t="s">
        <v>96</v>
      </c>
      <c r="Q10" s="23" t="s">
        <v>96</v>
      </c>
      <c r="R10" s="20" t="s">
        <v>64</v>
      </c>
      <c r="S10" s="23" t="s">
        <v>96</v>
      </c>
      <c r="T10" s="23" t="s">
        <v>96</v>
      </c>
      <c r="U10" s="23" t="s">
        <v>96</v>
      </c>
      <c r="V10" s="20" t="s">
        <v>65</v>
      </c>
      <c r="W10" s="20" t="s">
        <v>66</v>
      </c>
      <c r="X10" s="20" t="s">
        <v>72</v>
      </c>
      <c r="Y10" s="23" t="s">
        <v>96</v>
      </c>
      <c r="Z10" s="20" t="s">
        <v>67</v>
      </c>
      <c r="AA10" s="23" t="s">
        <v>96</v>
      </c>
      <c r="AB10" s="23" t="s">
        <v>96</v>
      </c>
      <c r="AC10" s="23" t="s">
        <v>96</v>
      </c>
      <c r="AD10" s="20" t="s">
        <v>74</v>
      </c>
      <c r="AE10" s="20" t="s">
        <v>68</v>
      </c>
      <c r="AF10" s="23" t="s">
        <v>96</v>
      </c>
      <c r="AG10" s="23" t="s">
        <v>96</v>
      </c>
      <c r="AH10" s="23" t="s">
        <v>96</v>
      </c>
      <c r="AI10" s="20"/>
      <c r="AJ10" s="20"/>
      <c r="AK10" s="20"/>
      <c r="AL10" s="20"/>
      <c r="AM10" s="20"/>
      <c r="AN10" s="20"/>
    </row>
    <row r="11" spans="1:40" ht="15.75" customHeight="1" thickBot="1">
      <c r="A11" s="22" t="s">
        <v>95</v>
      </c>
      <c r="B11" s="20" t="s">
        <v>2</v>
      </c>
      <c r="C11" s="23" t="s">
        <v>96</v>
      </c>
      <c r="D11" s="23" t="s">
        <v>96</v>
      </c>
      <c r="E11" s="20" t="s">
        <v>70</v>
      </c>
      <c r="F11" s="23" t="s">
        <v>96</v>
      </c>
      <c r="G11" s="23" t="s">
        <v>96</v>
      </c>
      <c r="H11" s="23" t="s">
        <v>96</v>
      </c>
      <c r="I11" s="20" t="s">
        <v>71</v>
      </c>
      <c r="J11" s="23" t="s">
        <v>96</v>
      </c>
      <c r="K11" s="23" t="s">
        <v>96</v>
      </c>
      <c r="L11" s="23" t="s">
        <v>96</v>
      </c>
      <c r="M11" s="23" t="s">
        <v>96</v>
      </c>
      <c r="N11" s="23" t="s">
        <v>96</v>
      </c>
      <c r="O11" s="23" t="s">
        <v>96</v>
      </c>
      <c r="P11" s="23" t="s">
        <v>96</v>
      </c>
      <c r="Q11" s="23" t="s">
        <v>96</v>
      </c>
      <c r="R11" s="20" t="s">
        <v>64</v>
      </c>
      <c r="S11" s="23" t="s">
        <v>96</v>
      </c>
      <c r="T11" s="23" t="s">
        <v>96</v>
      </c>
      <c r="U11" s="23" t="s">
        <v>96</v>
      </c>
      <c r="V11" s="23" t="s">
        <v>96</v>
      </c>
      <c r="W11" s="23" t="s">
        <v>96</v>
      </c>
      <c r="X11" s="20" t="s">
        <v>72</v>
      </c>
      <c r="Y11" s="23" t="s">
        <v>96</v>
      </c>
      <c r="Z11" s="20" t="s">
        <v>67</v>
      </c>
      <c r="AA11" s="23" t="s">
        <v>96</v>
      </c>
      <c r="AB11" s="23" t="s">
        <v>96</v>
      </c>
      <c r="AC11" s="23" t="s">
        <v>96</v>
      </c>
      <c r="AD11" s="23" t="s">
        <v>96</v>
      </c>
      <c r="AE11" s="20" t="s">
        <v>68</v>
      </c>
      <c r="AF11" s="23" t="s">
        <v>96</v>
      </c>
      <c r="AG11" s="23" t="s">
        <v>96</v>
      </c>
      <c r="AH11" s="23" t="s">
        <v>96</v>
      </c>
      <c r="AI11" s="20"/>
      <c r="AJ11" s="20"/>
      <c r="AK11" s="20"/>
      <c r="AL11" s="20"/>
      <c r="AM11" s="20"/>
      <c r="AN11" s="20"/>
    </row>
    <row r="12" spans="1:40" ht="15.75" customHeight="1" thickBot="1">
      <c r="A12" s="20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20"/>
      <c r="AH12" s="20"/>
      <c r="AI12" s="20"/>
      <c r="AJ12" s="20"/>
      <c r="AK12" s="20"/>
      <c r="AL12" s="20"/>
      <c r="AM12" s="20"/>
      <c r="AN12" s="20"/>
    </row>
    <row r="13" spans="1:40" ht="15.75" customHeight="1" thickBot="1">
      <c r="A13" s="20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20"/>
      <c r="AH13" s="20"/>
      <c r="AI13" s="20"/>
      <c r="AJ13" s="20"/>
      <c r="AK13" s="20"/>
      <c r="AL13" s="20"/>
      <c r="AM13" s="20"/>
      <c r="AN13" s="20"/>
    </row>
    <row r="14" spans="1:40" ht="15.75" customHeight="1" thickBot="1">
      <c r="A14" s="20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20"/>
      <c r="AH14" s="20"/>
      <c r="AI14" s="20"/>
      <c r="AJ14" s="20"/>
      <c r="AK14" s="20"/>
      <c r="AL14" s="20"/>
      <c r="AM14" s="20"/>
      <c r="AN14" s="20"/>
    </row>
    <row r="15" spans="1:40" ht="15.75" customHeight="1" thickBot="1">
      <c r="A15" s="20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/>
    </row>
    <row r="16" spans="1:40" ht="15.75" customHeight="1" thickBot="1">
      <c r="A16" s="20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</row>
    <row r="17" spans="1:40" ht="15.75" customHeight="1" thickBot="1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20"/>
      <c r="AH17" s="20"/>
      <c r="AI17" s="20"/>
      <c r="AJ17" s="20"/>
      <c r="AK17" s="20"/>
      <c r="AL17" s="20"/>
      <c r="AM17" s="20"/>
      <c r="AN17" s="20"/>
    </row>
    <row r="18" spans="1:40" ht="15.75" customHeight="1" thickBot="1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20"/>
      <c r="AH18" s="20"/>
      <c r="AI18" s="20"/>
      <c r="AJ18" s="20"/>
      <c r="AK18" s="20"/>
      <c r="AL18" s="20"/>
      <c r="AM18" s="20"/>
      <c r="AN18" s="20"/>
    </row>
    <row r="19" spans="1:40" ht="15.75" customHeight="1" thickBot="1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20"/>
      <c r="AH19" s="20"/>
      <c r="AI19" s="20"/>
      <c r="AJ19" s="20"/>
      <c r="AK19" s="20"/>
      <c r="AL19" s="20"/>
      <c r="AM19" s="20"/>
      <c r="AN19" s="20"/>
    </row>
    <row r="20" spans="1:40" ht="15.75" customHeight="1" thickBot="1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</row>
    <row r="21" spans="1:40" ht="15.75" customHeight="1" thickBot="1">
      <c r="A21" s="20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20"/>
      <c r="AH21" s="20"/>
      <c r="AI21" s="20"/>
      <c r="AJ21" s="20"/>
      <c r="AK21" s="20"/>
      <c r="AL21" s="20"/>
      <c r="AM21" s="20"/>
      <c r="AN21" s="20"/>
    </row>
    <row r="22" spans="1:40" ht="15.75" customHeight="1" thickBot="1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20"/>
      <c r="AH22" s="20"/>
      <c r="AI22" s="20"/>
      <c r="AJ22" s="20"/>
      <c r="AK22" s="20"/>
      <c r="AL22" s="20"/>
      <c r="AM22" s="20"/>
      <c r="AN22" s="20"/>
    </row>
    <row r="23" spans="1:40" ht="15.75" customHeight="1" thickBot="1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</row>
    <row r="24" spans="1:40" ht="15.75" customHeight="1" thickBot="1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20"/>
      <c r="AH24" s="20"/>
      <c r="AI24" s="20"/>
      <c r="AJ24" s="20"/>
      <c r="AK24" s="20"/>
      <c r="AL24" s="20"/>
      <c r="AM24" s="20"/>
      <c r="AN24" s="20"/>
    </row>
    <row r="25" spans="1:40" ht="15.75" customHeight="1" thickBot="1">
      <c r="A25" s="20"/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20"/>
      <c r="AH25" s="20"/>
      <c r="AI25" s="20"/>
      <c r="AJ25" s="20"/>
      <c r="AK25" s="20"/>
      <c r="AL25" s="20"/>
      <c r="AM25" s="20"/>
      <c r="AN25" s="20"/>
    </row>
    <row r="26" spans="1:40" ht="15.75" customHeight="1" thickBot="1">
      <c r="A26" s="20"/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</row>
    <row r="27" spans="1:40" ht="15.75" customHeight="1" thickBot="1">
      <c r="A27" s="20"/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20"/>
      <c r="AH27" s="20"/>
      <c r="AI27" s="20"/>
      <c r="AJ27" s="20"/>
      <c r="AK27" s="20"/>
      <c r="AL27" s="20"/>
      <c r="AM27" s="20"/>
      <c r="AN27" s="20"/>
    </row>
    <row r="28" spans="1:40" ht="15.75" customHeight="1" thickBot="1">
      <c r="A28" s="20"/>
      <c r="B28" s="20"/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20"/>
      <c r="AH28" s="20"/>
      <c r="AI28" s="20"/>
      <c r="AJ28" s="20"/>
      <c r="AK28" s="20"/>
      <c r="AL28" s="20"/>
      <c r="AM28" s="20"/>
      <c r="AN28" s="20"/>
    </row>
    <row r="29" spans="1:40" ht="15.75" customHeight="1" thickBot="1">
      <c r="A29" s="20"/>
      <c r="B29" s="20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20"/>
      <c r="AH29" s="20"/>
      <c r="AI29" s="20"/>
      <c r="AJ29" s="20"/>
      <c r="AK29" s="20"/>
      <c r="AL29" s="20"/>
      <c r="AM29" s="20"/>
      <c r="AN29" s="20"/>
    </row>
    <row r="30" spans="1:40" ht="15.75" customHeight="1" thickBot="1">
      <c r="A30" s="20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20"/>
      <c r="AH30" s="20"/>
      <c r="AI30" s="20"/>
      <c r="AJ30" s="20"/>
      <c r="AK30" s="20"/>
      <c r="AL30" s="20"/>
      <c r="AM30" s="20"/>
      <c r="AN30" s="20"/>
    </row>
    <row r="31" spans="1:40" ht="15.75" customHeight="1" thickBot="1">
      <c r="A31" s="20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20"/>
      <c r="AH31" s="20"/>
      <c r="AI31" s="20"/>
      <c r="AJ31" s="20"/>
      <c r="AK31" s="20"/>
      <c r="AL31" s="20"/>
      <c r="AM31" s="20"/>
      <c r="AN31" s="20"/>
    </row>
    <row r="32" spans="1:40" ht="15.75" customHeight="1" thickBot="1">
      <c r="A32" s="20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20"/>
      <c r="AH32" s="20"/>
      <c r="AI32" s="20"/>
      <c r="AJ32" s="20"/>
      <c r="AK32" s="20"/>
      <c r="AL32" s="20"/>
      <c r="AM32" s="20"/>
      <c r="AN32" s="20"/>
    </row>
    <row r="33" spans="1:40" ht="15.75" customHeight="1" thickBot="1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20"/>
      <c r="AH33" s="20"/>
      <c r="AI33" s="20"/>
      <c r="AJ33" s="20"/>
      <c r="AK33" s="20"/>
      <c r="AL33" s="20"/>
      <c r="AM33" s="20"/>
      <c r="AN33" s="20"/>
    </row>
    <row r="34" spans="1:40" ht="15.75" customHeight="1" thickBot="1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20"/>
      <c r="AH34" s="20"/>
      <c r="AI34" s="20"/>
      <c r="AJ34" s="20"/>
      <c r="AK34" s="20"/>
      <c r="AL34" s="20"/>
      <c r="AM34" s="20"/>
      <c r="AN34" s="20"/>
    </row>
    <row r="35" spans="1:40" ht="15.75" customHeight="1" thickBot="1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20"/>
      <c r="AH35" s="20"/>
      <c r="AI35" s="20"/>
      <c r="AJ35" s="20"/>
      <c r="AK35" s="20"/>
      <c r="AL35" s="20"/>
      <c r="AM35" s="20"/>
      <c r="AN35" s="20"/>
    </row>
    <row r="36" spans="1:40" ht="15.75" customHeight="1" thickBot="1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20"/>
      <c r="AH36" s="20"/>
      <c r="AI36" s="20"/>
      <c r="AJ36" s="20"/>
      <c r="AK36" s="20"/>
      <c r="AL36" s="20"/>
      <c r="AM36" s="20"/>
      <c r="AN36" s="20"/>
    </row>
    <row r="37" spans="1:40" ht="15.75" customHeight="1" thickBot="1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20"/>
      <c r="AH37" s="20"/>
      <c r="AI37" s="20"/>
      <c r="AJ37" s="20"/>
      <c r="AK37" s="20"/>
      <c r="AL37" s="20"/>
      <c r="AM37" s="20"/>
      <c r="AN37" s="20"/>
    </row>
    <row r="38" spans="1:40" ht="15.75" customHeight="1" thickBot="1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  <c r="AL38" s="20"/>
      <c r="AM38" s="20"/>
      <c r="AN38" s="20"/>
    </row>
    <row r="39" spans="1:40" ht="15.75" customHeight="1" thickBot="1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  <c r="AL39" s="20"/>
      <c r="AM39" s="20"/>
      <c r="AN39" s="20"/>
    </row>
    <row r="40" spans="1:40" ht="15.75" customHeight="1" thickBot="1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  <c r="AL40" s="20"/>
      <c r="AM40" s="20"/>
      <c r="AN40" s="20"/>
    </row>
    <row r="41" spans="1:40" ht="15.75" customHeight="1" thickBot="1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  <c r="AL41" s="20"/>
      <c r="AM41" s="20"/>
      <c r="AN41" s="20"/>
    </row>
    <row r="42" spans="1:40" ht="15.75" customHeight="1" thickBot="1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  <c r="AL42" s="20"/>
      <c r="AM42" s="20"/>
      <c r="AN42" s="20"/>
    </row>
    <row r="43" spans="1:40" ht="15.75" customHeight="1" thickBot="1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  <c r="AL43" s="20"/>
      <c r="AM43" s="20"/>
      <c r="AN43" s="20"/>
    </row>
    <row r="44" spans="1:40" ht="15.75" customHeight="1" thickBot="1">
      <c r="A44" s="20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  <c r="AL44" s="20"/>
      <c r="AM44" s="20"/>
      <c r="AN44" s="20"/>
    </row>
    <row r="45" spans="1:40" ht="15.75" customHeight="1" thickBot="1">
      <c r="A45" s="20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  <c r="AL45" s="20"/>
      <c r="AM45" s="20"/>
      <c r="AN45" s="20"/>
    </row>
    <row r="46" spans="1:40" ht="15.75" customHeight="1" thickBot="1">
      <c r="A46" s="20"/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  <c r="AL46" s="20"/>
      <c r="AM46" s="20"/>
      <c r="AN46" s="20"/>
    </row>
    <row r="47" spans="1:40" ht="15.75" customHeight="1" thickBot="1">
      <c r="A47" s="20"/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  <c r="AL47" s="20"/>
      <c r="AM47" s="20"/>
      <c r="AN47" s="20"/>
    </row>
    <row r="48" spans="1:40" ht="15.75" customHeight="1" thickBot="1">
      <c r="A48" s="20"/>
      <c r="B48" s="20"/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  <c r="AL48" s="20"/>
      <c r="AM48" s="20"/>
      <c r="AN48" s="20"/>
    </row>
    <row r="49" spans="1:40" ht="15.75" customHeight="1" thickBot="1">
      <c r="A49" s="20"/>
      <c r="B49" s="20"/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  <c r="AL49" s="20"/>
      <c r="AM49" s="20"/>
      <c r="AN49" s="20"/>
    </row>
    <row r="50" spans="1:40" ht="15.75" customHeight="1" thickBot="1">
      <c r="A50" s="20"/>
      <c r="B50" s="20"/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  <c r="AL50" s="20"/>
      <c r="AM50" s="20"/>
      <c r="AN50" s="20"/>
    </row>
    <row r="51" spans="1:40" ht="15.75" customHeight="1" thickBot="1">
      <c r="A51" s="20"/>
      <c r="B51" s="20"/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  <c r="AL51" s="20"/>
      <c r="AM51" s="20"/>
      <c r="AN51" s="20"/>
    </row>
    <row r="52" spans="1:40" ht="15.75" customHeight="1" thickBot="1">
      <c r="A52" s="20"/>
      <c r="B52" s="20"/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  <c r="AL52" s="20"/>
      <c r="AM52" s="20"/>
      <c r="AN52" s="20"/>
    </row>
    <row r="53" spans="1:40" ht="15.75" customHeight="1" thickBot="1">
      <c r="A53" s="20"/>
      <c r="B53" s="20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  <c r="AL53" s="20"/>
      <c r="AM53" s="20"/>
      <c r="AN53" s="20"/>
    </row>
    <row r="54" spans="1:40" ht="15.75" customHeight="1" thickBot="1">
      <c r="A54" s="20"/>
      <c r="B54" s="20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  <c r="AL54" s="20"/>
      <c r="AM54" s="20"/>
      <c r="AN54" s="20"/>
    </row>
    <row r="55" spans="1:40" ht="15.75" customHeight="1" thickBot="1">
      <c r="A55" s="20"/>
      <c r="B55" s="20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  <c r="AL55" s="20"/>
      <c r="AM55" s="20"/>
      <c r="AN55" s="20"/>
    </row>
    <row r="56" spans="1:40" ht="15.75" customHeight="1" thickBot="1">
      <c r="A56" s="20"/>
      <c r="B56" s="20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  <c r="AL56" s="20"/>
      <c r="AM56" s="20"/>
      <c r="AN56" s="20"/>
    </row>
    <row r="57" spans="1:40" ht="15.75" customHeight="1" thickBot="1">
      <c r="A57" s="20"/>
      <c r="B57" s="20"/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  <c r="AL57" s="20"/>
      <c r="AM57" s="20"/>
      <c r="AN57" s="20"/>
    </row>
    <row r="58" spans="1:40" ht="15.75" customHeight="1" thickBot="1">
      <c r="A58" s="20"/>
      <c r="B58" s="20"/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  <c r="AL58" s="20"/>
      <c r="AM58" s="20"/>
      <c r="AN58" s="20"/>
    </row>
    <row r="59" spans="1:40" ht="15.75" customHeight="1" thickBot="1">
      <c r="A59" s="20"/>
      <c r="B59" s="20"/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0"/>
      <c r="AK59" s="20"/>
      <c r="AL59" s="20"/>
      <c r="AM59" s="20"/>
      <c r="AN59" s="20"/>
    </row>
    <row r="60" spans="1:40" ht="15.75" customHeight="1" thickBot="1">
      <c r="A60" s="20"/>
      <c r="B60" s="2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20"/>
      <c r="AM60" s="20"/>
      <c r="AN60" s="20"/>
    </row>
    <row r="61" spans="1:40" ht="15.75" customHeight="1" thickBot="1">
      <c r="A61" s="20"/>
      <c r="B61" s="2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20"/>
      <c r="AM61" s="20"/>
      <c r="AN61" s="20"/>
    </row>
    <row r="62" spans="1:40" ht="15.75" customHeight="1" thickBot="1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20"/>
      <c r="AM62" s="20"/>
      <c r="AN62" s="20"/>
    </row>
    <row r="63" spans="1:40" ht="15.75" customHeight="1" thickBot="1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  <c r="AL63" s="20"/>
      <c r="AM63" s="20"/>
      <c r="AN63" s="20"/>
    </row>
    <row r="64" spans="1:40" ht="15.75" customHeight="1" thickBot="1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0"/>
      <c r="AK64" s="20"/>
      <c r="AL64" s="20"/>
      <c r="AM64" s="20"/>
      <c r="AN64" s="20"/>
    </row>
    <row r="65" spans="1:40" ht="15.75" customHeight="1" thickBot="1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  <c r="AL65" s="20"/>
      <c r="AM65" s="20"/>
      <c r="AN65" s="20"/>
    </row>
    <row r="66" spans="1:40" ht="15.75" customHeight="1" thickBot="1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0"/>
      <c r="AK66" s="20"/>
      <c r="AL66" s="20"/>
      <c r="AM66" s="20"/>
      <c r="AN66" s="20"/>
    </row>
    <row r="67" spans="1:40" ht="15.75" customHeight="1" thickBot="1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0"/>
      <c r="AJ67" s="20"/>
      <c r="AK67" s="20"/>
      <c r="AL67" s="20"/>
      <c r="AM67" s="20"/>
      <c r="AN67" s="20"/>
    </row>
    <row r="68" spans="1:40" ht="15.75" customHeight="1" thickBot="1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0"/>
      <c r="AJ68" s="20"/>
      <c r="AK68" s="20"/>
      <c r="AL68" s="20"/>
      <c r="AM68" s="20"/>
      <c r="AN68" s="20"/>
    </row>
    <row r="69" spans="1:40" ht="15.75" customHeight="1" thickBot="1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0"/>
      <c r="AJ69" s="20"/>
      <c r="AK69" s="20"/>
      <c r="AL69" s="20"/>
      <c r="AM69" s="20"/>
      <c r="AN69" s="20"/>
    </row>
    <row r="70" spans="1:40" ht="15.75" customHeight="1" thickBot="1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0"/>
      <c r="AJ70" s="20"/>
      <c r="AK70" s="20"/>
      <c r="AL70" s="20"/>
      <c r="AM70" s="20"/>
      <c r="AN70" s="20"/>
    </row>
    <row r="71" spans="1:40" ht="15.75" customHeight="1" thickBot="1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0"/>
      <c r="AJ71" s="20"/>
      <c r="AK71" s="20"/>
      <c r="AL71" s="20"/>
      <c r="AM71" s="20"/>
      <c r="AN71" s="20"/>
    </row>
    <row r="72" spans="1:40" ht="15.75" customHeight="1" thickBot="1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  <c r="AL72" s="20"/>
      <c r="AM72" s="20"/>
      <c r="AN72" s="20"/>
    </row>
    <row r="73" spans="1:40" ht="15.75" customHeight="1" thickBot="1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20"/>
      <c r="AM73" s="20"/>
      <c r="AN73" s="20"/>
    </row>
    <row r="74" spans="1:40" ht="15.75" customHeight="1" thickBot="1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0"/>
      <c r="AJ74" s="20"/>
      <c r="AK74" s="20"/>
      <c r="AL74" s="20"/>
      <c r="AM74" s="20"/>
      <c r="AN74" s="20"/>
    </row>
    <row r="75" spans="1:40" ht="15.75" customHeight="1" thickBot="1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0"/>
      <c r="AJ75" s="20"/>
      <c r="AK75" s="20"/>
      <c r="AL75" s="20"/>
      <c r="AM75" s="20"/>
      <c r="AN75" s="20"/>
    </row>
    <row r="76" spans="1:40" ht="15.75" customHeight="1" thickBot="1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0"/>
      <c r="AJ76" s="20"/>
      <c r="AK76" s="20"/>
      <c r="AL76" s="20"/>
      <c r="AM76" s="20"/>
      <c r="AN76" s="20"/>
    </row>
    <row r="77" spans="1:40" ht="15.75" customHeight="1" thickBot="1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0"/>
      <c r="AJ77" s="20"/>
      <c r="AK77" s="20"/>
      <c r="AL77" s="20"/>
      <c r="AM77" s="20"/>
      <c r="AN77" s="20"/>
    </row>
    <row r="78" spans="1:40" ht="15.75" customHeight="1" thickBot="1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0"/>
      <c r="AJ78" s="20"/>
      <c r="AK78" s="20"/>
      <c r="AL78" s="20"/>
      <c r="AM78" s="20"/>
      <c r="AN78" s="20"/>
    </row>
    <row r="79" spans="1:40" ht="15.75" customHeight="1" thickBot="1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0"/>
      <c r="AJ79" s="20"/>
      <c r="AK79" s="20"/>
      <c r="AL79" s="20"/>
      <c r="AM79" s="20"/>
      <c r="AN79" s="20"/>
    </row>
    <row r="80" spans="1:40" ht="15.75" customHeight="1" thickBot="1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0"/>
      <c r="AJ80" s="20"/>
      <c r="AK80" s="20"/>
      <c r="AL80" s="20"/>
      <c r="AM80" s="20"/>
      <c r="AN80" s="20"/>
    </row>
    <row r="81" spans="1:40" ht="15.75" customHeight="1" thickBot="1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0"/>
      <c r="AD81" s="20"/>
      <c r="AE81" s="20"/>
      <c r="AF81" s="20"/>
      <c r="AG81" s="20"/>
      <c r="AH81" s="20"/>
      <c r="AI81" s="20"/>
      <c r="AJ81" s="20"/>
      <c r="AK81" s="20"/>
      <c r="AL81" s="20"/>
      <c r="AM81" s="20"/>
      <c r="AN81" s="20"/>
    </row>
    <row r="82" spans="1:40" ht="15.75" customHeight="1" thickBot="1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0"/>
      <c r="AJ82" s="20"/>
      <c r="AK82" s="20"/>
      <c r="AL82" s="20"/>
      <c r="AM82" s="20"/>
      <c r="AN82" s="20"/>
    </row>
    <row r="83" spans="1:40" ht="15.75" customHeight="1" thickBot="1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0"/>
      <c r="AJ83" s="20"/>
      <c r="AK83" s="20"/>
      <c r="AL83" s="20"/>
      <c r="AM83" s="20"/>
      <c r="AN83" s="20"/>
    </row>
    <row r="84" spans="1:40" ht="15.75" customHeight="1" thickBot="1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0"/>
      <c r="AK84" s="20"/>
      <c r="AL84" s="20"/>
      <c r="AM84" s="20"/>
      <c r="AN84" s="20"/>
    </row>
    <row r="85" spans="1:40" ht="15.75" customHeight="1" thickBot="1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0"/>
      <c r="AJ85" s="20"/>
      <c r="AK85" s="20"/>
      <c r="AL85" s="20"/>
      <c r="AM85" s="20"/>
      <c r="AN85" s="20"/>
    </row>
    <row r="86" spans="1:40" ht="15.75" customHeight="1" thickBot="1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0"/>
      <c r="AJ86" s="20"/>
      <c r="AK86" s="20"/>
      <c r="AL86" s="20"/>
      <c r="AM86" s="20"/>
      <c r="AN86" s="20"/>
    </row>
    <row r="87" spans="1:40" ht="15.75" customHeight="1" thickBot="1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0"/>
      <c r="AJ87" s="20"/>
      <c r="AK87" s="20"/>
      <c r="AL87" s="20"/>
      <c r="AM87" s="20"/>
      <c r="AN87" s="20"/>
    </row>
    <row r="88" spans="1:40" ht="15.75" customHeight="1" thickBot="1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0"/>
      <c r="AJ88" s="20"/>
      <c r="AK88" s="20"/>
      <c r="AL88" s="20"/>
      <c r="AM88" s="20"/>
      <c r="AN88" s="20"/>
    </row>
    <row r="89" spans="1:40" ht="15.75" customHeight="1" thickBot="1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0"/>
      <c r="AK89" s="20"/>
      <c r="AL89" s="20"/>
      <c r="AM89" s="20"/>
      <c r="AN89" s="20"/>
    </row>
    <row r="90" spans="1:40" ht="15.75" customHeight="1" thickBot="1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0"/>
      <c r="AJ90" s="20"/>
      <c r="AK90" s="20"/>
      <c r="AL90" s="20"/>
      <c r="AM90" s="20"/>
      <c r="AN90" s="20"/>
    </row>
    <row r="91" spans="1:40" ht="15.75" customHeight="1" thickBot="1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0"/>
      <c r="AJ91" s="20"/>
      <c r="AK91" s="20"/>
      <c r="AL91" s="20"/>
      <c r="AM91" s="20"/>
      <c r="AN91" s="20"/>
    </row>
    <row r="92" spans="1:40" ht="15.75" customHeight="1" thickBot="1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0"/>
      <c r="AJ92" s="20"/>
      <c r="AK92" s="20"/>
      <c r="AL92" s="20"/>
      <c r="AM92" s="20"/>
      <c r="AN92" s="20"/>
    </row>
    <row r="93" spans="1:40" ht="15.75" customHeight="1" thickBot="1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0"/>
      <c r="AJ93" s="20"/>
      <c r="AK93" s="20"/>
      <c r="AL93" s="20"/>
      <c r="AM93" s="20"/>
      <c r="AN93" s="20"/>
    </row>
    <row r="94" spans="1:40" ht="15.75" customHeight="1" thickBot="1">
      <c r="A94" s="20"/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0"/>
      <c r="AJ94" s="20"/>
      <c r="AK94" s="20"/>
      <c r="AL94" s="20"/>
      <c r="AM94" s="20"/>
      <c r="AN94" s="20"/>
    </row>
    <row r="95" spans="1:40" ht="15.75" customHeight="1" thickBot="1">
      <c r="A95" s="20"/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0"/>
      <c r="AJ95" s="20"/>
      <c r="AK95" s="20"/>
      <c r="AL95" s="20"/>
      <c r="AM95" s="20"/>
      <c r="AN95" s="20"/>
    </row>
    <row r="96" spans="1:40" ht="15.75" customHeight="1" thickBot="1">
      <c r="A96" s="20"/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0"/>
      <c r="AJ96" s="20"/>
      <c r="AK96" s="20"/>
      <c r="AL96" s="20"/>
      <c r="AM96" s="20"/>
      <c r="AN96" s="20"/>
    </row>
    <row r="97" spans="1:40" ht="15.75" customHeight="1" thickBot="1">
      <c r="A97" s="20"/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0"/>
      <c r="AJ97" s="20"/>
      <c r="AK97" s="20"/>
      <c r="AL97" s="20"/>
      <c r="AM97" s="20"/>
      <c r="AN97" s="20"/>
    </row>
    <row r="98" spans="1:40" ht="15.75" customHeight="1" thickBot="1">
      <c r="A98" s="20"/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0"/>
      <c r="AJ98" s="20"/>
      <c r="AK98" s="20"/>
      <c r="AL98" s="20"/>
      <c r="AM98" s="20"/>
      <c r="AN98" s="20"/>
    </row>
    <row r="99" spans="1:40" ht="15.75" customHeight="1" thickBot="1">
      <c r="A99" s="20"/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0"/>
      <c r="AJ99" s="20"/>
      <c r="AK99" s="20"/>
      <c r="AL99" s="20"/>
      <c r="AM99" s="20"/>
      <c r="AN99" s="20"/>
    </row>
    <row r="100" spans="1:40" ht="15.75" customHeight="1" thickBot="1">
      <c r="A100" s="20"/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0"/>
      <c r="AJ100" s="20"/>
      <c r="AK100" s="20"/>
      <c r="AL100" s="20"/>
      <c r="AM100" s="20"/>
      <c r="AN100" s="20"/>
    </row>
    <row r="101" spans="1:40" ht="15.75" customHeight="1" thickBot="1">
      <c r="A101" s="20"/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0"/>
      <c r="AJ101" s="20"/>
      <c r="AK101" s="20"/>
      <c r="AL101" s="20"/>
      <c r="AM101" s="20"/>
      <c r="AN101" s="20"/>
    </row>
    <row r="102" spans="1:40" ht="15.75" customHeight="1" thickBot="1">
      <c r="A102" s="20"/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0"/>
      <c r="AJ102" s="20"/>
      <c r="AK102" s="20"/>
      <c r="AL102" s="20"/>
      <c r="AM102" s="20"/>
      <c r="AN102" s="20"/>
    </row>
    <row r="103" spans="1:40" ht="15.75" customHeight="1" thickBot="1">
      <c r="A103" s="20"/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0"/>
      <c r="AJ103" s="20"/>
      <c r="AK103" s="20"/>
      <c r="AL103" s="20"/>
      <c r="AM103" s="20"/>
      <c r="AN103" s="20"/>
    </row>
    <row r="104" spans="1:40" ht="15.75" customHeight="1" thickBot="1">
      <c r="A104" s="20"/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0"/>
      <c r="AJ104" s="20"/>
      <c r="AK104" s="20"/>
      <c r="AL104" s="20"/>
      <c r="AM104" s="20"/>
      <c r="AN104" s="20"/>
    </row>
    <row r="105" spans="1:40" ht="15.75" customHeight="1" thickBot="1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0"/>
      <c r="AJ105" s="20"/>
      <c r="AK105" s="20"/>
      <c r="AL105" s="20"/>
      <c r="AM105" s="20"/>
      <c r="AN105" s="20"/>
    </row>
    <row r="106" spans="1:40" ht="15.75" customHeight="1" thickBot="1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0"/>
      <c r="AJ106" s="20"/>
      <c r="AK106" s="20"/>
      <c r="AL106" s="20"/>
      <c r="AM106" s="20"/>
      <c r="AN106" s="20"/>
    </row>
    <row r="107" spans="1:40" ht="15.75" customHeight="1" thickBot="1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0"/>
      <c r="AJ107" s="20"/>
      <c r="AK107" s="20"/>
      <c r="AL107" s="20"/>
      <c r="AM107" s="20"/>
      <c r="AN107" s="20"/>
    </row>
    <row r="108" spans="1:40" ht="15.75" customHeight="1" thickBot="1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0"/>
      <c r="AJ108" s="20"/>
      <c r="AK108" s="20"/>
      <c r="AL108" s="20"/>
      <c r="AM108" s="20"/>
      <c r="AN108" s="20"/>
    </row>
    <row r="109" spans="1:40" ht="15.75" customHeight="1" thickBot="1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0"/>
      <c r="AJ109" s="20"/>
      <c r="AK109" s="20"/>
      <c r="AL109" s="20"/>
      <c r="AM109" s="20"/>
      <c r="AN109" s="20"/>
    </row>
    <row r="110" spans="1:40" ht="15.75" customHeight="1" thickBot="1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0"/>
      <c r="AJ110" s="20"/>
      <c r="AK110" s="20"/>
      <c r="AL110" s="20"/>
      <c r="AM110" s="20"/>
      <c r="AN110" s="20"/>
    </row>
    <row r="111" spans="1:40" ht="15.75" customHeight="1" thickBot="1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0"/>
      <c r="AJ111" s="20"/>
      <c r="AK111" s="20"/>
      <c r="AL111" s="20"/>
      <c r="AM111" s="20"/>
      <c r="AN111" s="20"/>
    </row>
  </sheetData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D100"/>
  <sheetViews>
    <sheetView showGridLines="0" workbookViewId="0">
      <selection activeCell="C1" sqref="C1"/>
    </sheetView>
  </sheetViews>
  <sheetFormatPr defaultRowHeight="12.75"/>
  <cols>
    <col min="1" max="1" width="1.7109375" customWidth="1"/>
    <col min="2" max="2" width="1.85546875" customWidth="1"/>
    <col min="3" max="3" width="38.5703125" customWidth="1"/>
    <col min="4" max="4" width="10.140625" bestFit="1" customWidth="1"/>
  </cols>
  <sheetData>
    <row r="2" spans="2:4">
      <c r="B2">
        <v>1</v>
      </c>
      <c r="C2" s="3" t="s">
        <v>9</v>
      </c>
    </row>
    <row r="11" spans="2:4">
      <c r="B11">
        <v>2</v>
      </c>
      <c r="C11" s="3" t="s">
        <v>8</v>
      </c>
    </row>
    <row r="12" spans="2:4" ht="26.25">
      <c r="C12" s="3" t="s">
        <v>7</v>
      </c>
      <c r="D12" s="5" t="str">
        <f>IF(AND('INCOLLA QUI'!A1="Informazioni cronologiche",'INCOLLA QUI'!B1="Indirizzo email",'INCOLLA QUI'!AJ1=0),"CORRETTO","INCORRETTO, per favore ricontrolla")</f>
        <v>CORRETTO</v>
      </c>
    </row>
    <row r="13" spans="2:4">
      <c r="C13" s="3"/>
    </row>
    <row r="15" spans="2:4">
      <c r="B15">
        <v>3</v>
      </c>
      <c r="C15" s="3" t="s">
        <v>10</v>
      </c>
    </row>
    <row r="16" spans="2:4">
      <c r="C16" s="3" t="s">
        <v>11</v>
      </c>
    </row>
    <row r="18" spans="2:4">
      <c r="C18" s="4" t="s">
        <v>12</v>
      </c>
    </row>
    <row r="19" spans="2:4">
      <c r="C19" s="4" t="s">
        <v>13</v>
      </c>
    </row>
    <row r="20" spans="2:4">
      <c r="C20" s="4" t="s">
        <v>14</v>
      </c>
    </row>
    <row r="23" spans="2:4">
      <c r="B23">
        <v>4</v>
      </c>
      <c r="C23" t="s">
        <v>15</v>
      </c>
    </row>
    <row r="24" spans="2:4">
      <c r="C24" s="3" t="s">
        <v>16</v>
      </c>
    </row>
    <row r="25" spans="2:4" ht="26.25">
      <c r="C25" s="3" t="s">
        <v>17</v>
      </c>
      <c r="D25" s="5">
        <v>1</v>
      </c>
    </row>
    <row r="26" spans="2:4">
      <c r="C26" s="3"/>
    </row>
    <row r="27" spans="2:4">
      <c r="C27" s="3"/>
    </row>
    <row r="28" spans="2:4">
      <c r="B28">
        <v>5</v>
      </c>
      <c r="C28" s="3" t="s">
        <v>18</v>
      </c>
    </row>
    <row r="29" spans="2:4">
      <c r="C29" s="3"/>
    </row>
    <row r="30" spans="2:4">
      <c r="C30" s="3"/>
    </row>
    <row r="32" spans="2:4">
      <c r="C32" s="3"/>
    </row>
    <row r="34" spans="2:4">
      <c r="B34">
        <v>5</v>
      </c>
      <c r="C34" t="str">
        <f>IF('INCOLLA QUI'!B2=0,"",'INCOLLA QUI'!B2)</f>
        <v>Klasen78</v>
      </c>
      <c r="D34">
        <f>IF(OR(C34="",C34=0),"",COUNTIF('INCOLLA QUI'!C2:AZ2,"AZZECCATO")*$D$25)</f>
        <v>24</v>
      </c>
    </row>
    <row r="35" spans="2:4">
      <c r="C35" t="str">
        <f>IF('INCOLLA QUI'!B3=0,"",'INCOLLA QUI'!B3)</f>
        <v>Domanov</v>
      </c>
      <c r="D35">
        <f>IF(OR(C35="",C35=0),"",COUNTIF('INCOLLA QUI'!C3:AZ3,"AZZECCATO")*$D$25)</f>
        <v>23</v>
      </c>
    </row>
    <row r="36" spans="2:4">
      <c r="C36" t="str">
        <f>IF('INCOLLA QUI'!B4=0,"",'INCOLLA QUI'!B4)</f>
        <v>Topspin1985</v>
      </c>
      <c r="D36">
        <f>IF(OR(C36="",C36=0),"",COUNTIF('INCOLLA QUI'!C4:AZ4,"AZZECCATO")*$D$25)</f>
        <v>19</v>
      </c>
    </row>
    <row r="37" spans="2:4">
      <c r="C37" t="str">
        <f>IF('INCOLLA QUI'!B5=0,"",'INCOLLA QUI'!B5)</f>
        <v>Guido RF20</v>
      </c>
      <c r="D37">
        <f>IF(OR(C37="",C37=0),"",COUNTIF('INCOLLA QUI'!C5:AZ5,"AZZECCATO")*$D$25)</f>
        <v>19</v>
      </c>
    </row>
    <row r="38" spans="2:4">
      <c r="C38" t="str">
        <f>IF('INCOLLA QUI'!B6=0,"",'INCOLLA QUI'!B6)</f>
        <v>Maria Isabel</v>
      </c>
      <c r="D38">
        <f>IF(OR(C38="",C38=0),"",COUNTIF('INCOLLA QUI'!C6:AZ6,"AZZECCATO")*$D$25)</f>
        <v>23</v>
      </c>
    </row>
    <row r="39" spans="2:4">
      <c r="C39" t="str">
        <f>IF('INCOLLA QUI'!B7=0,"",'INCOLLA QUI'!B7)</f>
        <v>Lars</v>
      </c>
      <c r="D39">
        <f>IF(OR(C39="",C39=0),"",COUNTIF('INCOLLA QUI'!C7:AZ7,"AZZECCATO")*$D$25)</f>
        <v>19</v>
      </c>
    </row>
    <row r="40" spans="2:4">
      <c r="C40" t="str">
        <f>IF('INCOLLA QUI'!B8=0,"",'INCOLLA QUI'!B8)</f>
        <v>Lollo</v>
      </c>
      <c r="D40">
        <f>IF(OR(C40="",C40=0),"",COUNTIF('INCOLLA QUI'!C8:AZ8,"AZZECCATO")*$D$25)</f>
        <v>23</v>
      </c>
    </row>
    <row r="41" spans="2:4">
      <c r="C41" t="str">
        <f>IF('INCOLLA QUI'!B9=0,"",'INCOLLA QUI'!B9)</f>
        <v>Salvatore</v>
      </c>
      <c r="D41">
        <f>IF(OR(C41="",C41=0),"",COUNTIF('INCOLLA QUI'!C9:AZ9,"AZZECCATO")*$D$25)</f>
        <v>24</v>
      </c>
    </row>
    <row r="42" spans="2:4">
      <c r="C42" t="str">
        <f>IF('INCOLLA QUI'!B10=0,"",'INCOLLA QUI'!B10)</f>
        <v>Vince</v>
      </c>
      <c r="D42">
        <f>IF(OR(C42="",C42=0),"",COUNTIF('INCOLLA QUI'!C10:AZ10,"AZZECCATO")*$D$25)</f>
        <v>21</v>
      </c>
    </row>
    <row r="43" spans="2:4">
      <c r="C43" t="str">
        <f>IF('INCOLLA QUI'!B11=0,"",'INCOLLA QUI'!B11)</f>
        <v>Carlito</v>
      </c>
      <c r="D43">
        <f>IF(OR(C43="",C43=0),"",COUNTIF('INCOLLA QUI'!C11:AZ11,"AZZECCATO")*$D$25)</f>
        <v>26</v>
      </c>
    </row>
    <row r="44" spans="2:4">
      <c r="C44" t="str">
        <f>IF('INCOLLA QUI'!B12=0,"",'INCOLLA QUI'!B12)</f>
        <v/>
      </c>
      <c r="D44" t="str">
        <f>IF(OR(C44="",C44=0),"",COUNTIF('INCOLLA QUI'!C12:AZ12,"AZZECCATO")*$D$25)</f>
        <v/>
      </c>
    </row>
    <row r="45" spans="2:4">
      <c r="C45" t="str">
        <f>IF('INCOLLA QUI'!B13=0,"",'INCOLLA QUI'!B13)</f>
        <v/>
      </c>
      <c r="D45" t="str">
        <f>IF(OR(C45="",C45=0),"",COUNTIF('INCOLLA QUI'!C13:AZ13,"AZZECCATO")*$D$25)</f>
        <v/>
      </c>
    </row>
    <row r="46" spans="2:4">
      <c r="C46" t="str">
        <f>IF('INCOLLA QUI'!B14=0,"",'INCOLLA QUI'!B14)</f>
        <v/>
      </c>
      <c r="D46" t="str">
        <f>IF(OR(C46="",C46=0),"",COUNTIF('INCOLLA QUI'!C14:AZ14,"AZZECCATO")*$D$25)</f>
        <v/>
      </c>
    </row>
    <row r="47" spans="2:4">
      <c r="C47" t="str">
        <f>IF('INCOLLA QUI'!B15=0,"",'INCOLLA QUI'!B15)</f>
        <v/>
      </c>
      <c r="D47" t="str">
        <f>IF(OR(C47="",C47=0),"",COUNTIF('INCOLLA QUI'!C15:AZ15,"AZZECCATO")*$D$25)</f>
        <v/>
      </c>
    </row>
    <row r="48" spans="2:4">
      <c r="C48" t="str">
        <f>IF('INCOLLA QUI'!B16=0,"",'INCOLLA QUI'!B16)</f>
        <v/>
      </c>
      <c r="D48" t="str">
        <f>IF(OR(C48="",C48=0),"",COUNTIF('INCOLLA QUI'!C16:AZ16,"AZZECCATO")*$D$25)</f>
        <v/>
      </c>
    </row>
    <row r="49" spans="3:4">
      <c r="C49" t="str">
        <f>IF('INCOLLA QUI'!B17=0,"",'INCOLLA QUI'!B17)</f>
        <v/>
      </c>
      <c r="D49" t="str">
        <f>IF(OR(C49="",C49=0),"",COUNTIF('INCOLLA QUI'!C17:AZ17,"AZZECCATO")*$D$25)</f>
        <v/>
      </c>
    </row>
    <row r="50" spans="3:4">
      <c r="C50" t="str">
        <f>IF('INCOLLA QUI'!B18=0,"",'INCOLLA QUI'!B18)</f>
        <v/>
      </c>
      <c r="D50" t="str">
        <f>IF(OR(C50="",C50=0),"",COUNTIF('INCOLLA QUI'!C18:AZ18,"AZZECCATO")*$D$25)</f>
        <v/>
      </c>
    </row>
    <row r="51" spans="3:4">
      <c r="C51" t="str">
        <f>IF('INCOLLA QUI'!B19=0,"",'INCOLLA QUI'!B19)</f>
        <v/>
      </c>
      <c r="D51" t="str">
        <f>IF(OR(C51="",C51=0),"",COUNTIF('INCOLLA QUI'!C19:AZ19,"AZZECCATO")*$D$25)</f>
        <v/>
      </c>
    </row>
    <row r="52" spans="3:4">
      <c r="C52" t="str">
        <f>IF('INCOLLA QUI'!B20=0,"",'INCOLLA QUI'!B20)</f>
        <v/>
      </c>
      <c r="D52" t="str">
        <f>IF(OR(C52="",C52=0),"",COUNTIF('INCOLLA QUI'!C20:AZ20,"AZZECCATO")*$D$25)</f>
        <v/>
      </c>
    </row>
    <row r="53" spans="3:4">
      <c r="C53" t="str">
        <f>IF('INCOLLA QUI'!B21=0,"",'INCOLLA QUI'!B21)</f>
        <v/>
      </c>
      <c r="D53" t="str">
        <f>IF(OR(C53="",C53=0),"",COUNTIF('INCOLLA QUI'!C21:AZ21,"AZZECCATO")*$D$25)</f>
        <v/>
      </c>
    </row>
    <row r="54" spans="3:4">
      <c r="C54" t="str">
        <f>IF('INCOLLA QUI'!B22=0,"",'INCOLLA QUI'!B22)</f>
        <v/>
      </c>
      <c r="D54" t="str">
        <f>IF(OR(C54="",C54=0),"",COUNTIF('INCOLLA QUI'!C22:AZ22,"AZZECCATO")*$D$25)</f>
        <v/>
      </c>
    </row>
    <row r="55" spans="3:4">
      <c r="C55" t="str">
        <f>IF('INCOLLA QUI'!B23=0,"",'INCOLLA QUI'!B23)</f>
        <v/>
      </c>
      <c r="D55" t="str">
        <f>IF(OR(C55="",C55=0),"",COUNTIF('INCOLLA QUI'!C23:AZ23,"AZZECCATO")*$D$25)</f>
        <v/>
      </c>
    </row>
    <row r="56" spans="3:4">
      <c r="C56" t="str">
        <f>IF('INCOLLA QUI'!B24=0,"",'INCOLLA QUI'!B24)</f>
        <v/>
      </c>
      <c r="D56" t="str">
        <f>IF(OR(C56="",C56=0),"",COUNTIF('INCOLLA QUI'!C24:AZ24,"AZZECCATO")*$D$25)</f>
        <v/>
      </c>
    </row>
    <row r="57" spans="3:4">
      <c r="C57" t="str">
        <f>IF('INCOLLA QUI'!B25=0,"",'INCOLLA QUI'!B25)</f>
        <v/>
      </c>
      <c r="D57" t="str">
        <f>IF(OR(C57="",C57=0),"",COUNTIF('INCOLLA QUI'!C25:AZ25,"AZZECCATO")*$D$25)</f>
        <v/>
      </c>
    </row>
    <row r="58" spans="3:4">
      <c r="C58" t="str">
        <f>IF('INCOLLA QUI'!B26=0,"",'INCOLLA QUI'!B26)</f>
        <v/>
      </c>
      <c r="D58" t="str">
        <f>IF(OR(C58="",C58=0),"",COUNTIF('INCOLLA QUI'!C26:AZ26,"AZZECCATO")*$D$25)</f>
        <v/>
      </c>
    </row>
    <row r="59" spans="3:4">
      <c r="C59" t="str">
        <f>IF('INCOLLA QUI'!B27=0,"",'INCOLLA QUI'!B27)</f>
        <v/>
      </c>
      <c r="D59" t="str">
        <f>IF(OR(C59="",C59=0),"",COUNTIF('INCOLLA QUI'!C27:AZ27,"AZZECCATO")*$D$25)</f>
        <v/>
      </c>
    </row>
    <row r="60" spans="3:4">
      <c r="C60" t="str">
        <f>IF('INCOLLA QUI'!B28=0,"",'INCOLLA QUI'!B28)</f>
        <v/>
      </c>
      <c r="D60" t="str">
        <f>IF(OR(C60="",C60=0),"",COUNTIF('INCOLLA QUI'!C28:AZ28,"AZZECCATO")*$D$25)</f>
        <v/>
      </c>
    </row>
    <row r="61" spans="3:4">
      <c r="C61" t="str">
        <f>IF('INCOLLA QUI'!B29=0,"",'INCOLLA QUI'!B29)</f>
        <v/>
      </c>
      <c r="D61" t="str">
        <f>IF(OR(C61="",C61=0),"",COUNTIF('INCOLLA QUI'!C29:AZ29,"AZZECCATO")*$D$25)</f>
        <v/>
      </c>
    </row>
    <row r="62" spans="3:4">
      <c r="C62" t="str">
        <f>IF('INCOLLA QUI'!B30=0,"",'INCOLLA QUI'!B30)</f>
        <v/>
      </c>
      <c r="D62" t="str">
        <f>IF(OR(C62="",C62=0),"",COUNTIF('INCOLLA QUI'!C30:AZ30,"AZZECCATO")*$D$25)</f>
        <v/>
      </c>
    </row>
    <row r="63" spans="3:4">
      <c r="C63" t="str">
        <f>IF('INCOLLA QUI'!B31=0,"",'INCOLLA QUI'!B31)</f>
        <v/>
      </c>
      <c r="D63" t="str">
        <f>IF(OR(C63="",C63=0),"",COUNTIF('INCOLLA QUI'!C31:AZ31,"AZZECCATO")*$D$25)</f>
        <v/>
      </c>
    </row>
    <row r="64" spans="3:4">
      <c r="C64" t="str">
        <f>IF('INCOLLA QUI'!B32=0,"",'INCOLLA QUI'!B32)</f>
        <v/>
      </c>
      <c r="D64" t="str">
        <f>IF(OR(C64="",C64=0),"",COUNTIF('INCOLLA QUI'!C32:AZ32,"AZZECCATO")*$D$25)</f>
        <v/>
      </c>
    </row>
    <row r="65" spans="3:4">
      <c r="C65" t="str">
        <f>IF('INCOLLA QUI'!B33=0,"",'INCOLLA QUI'!B33)</f>
        <v/>
      </c>
      <c r="D65" t="str">
        <f>IF(OR(C65="",C65=0),"",COUNTIF('INCOLLA QUI'!C33:AZ33,"AZZECCATO")*$D$25)</f>
        <v/>
      </c>
    </row>
    <row r="66" spans="3:4">
      <c r="C66" t="str">
        <f>IF('INCOLLA QUI'!B34=0,"",'INCOLLA QUI'!B34)</f>
        <v/>
      </c>
      <c r="D66" t="str">
        <f>IF(OR(C66="",C66=0),"",COUNTIF('INCOLLA QUI'!C34:AZ34,"AZZECCATO")*$D$25)</f>
        <v/>
      </c>
    </row>
    <row r="67" spans="3:4">
      <c r="C67" t="str">
        <f>IF('INCOLLA QUI'!B35=0,"",'INCOLLA QUI'!B35)</f>
        <v/>
      </c>
      <c r="D67" t="str">
        <f>IF(OR(C67="",C67=0),"",COUNTIF('INCOLLA QUI'!C35:AZ35,"AZZECCATO")*$D$25)</f>
        <v/>
      </c>
    </row>
    <row r="68" spans="3:4">
      <c r="C68" t="str">
        <f>IF('INCOLLA QUI'!B36=0,"",'INCOLLA QUI'!B36)</f>
        <v/>
      </c>
      <c r="D68" t="str">
        <f>IF(OR(C68="",C68=0),"",COUNTIF('INCOLLA QUI'!C36:AZ36,"AZZECCATO")*$D$25)</f>
        <v/>
      </c>
    </row>
    <row r="69" spans="3:4">
      <c r="C69" t="str">
        <f>IF('INCOLLA QUI'!B37=0,"",'INCOLLA QUI'!B37)</f>
        <v/>
      </c>
      <c r="D69" t="str">
        <f>IF(OR(C69="",C69=0),"",COUNTIF('INCOLLA QUI'!C37:AZ37,"AZZECCATO")*$D$25)</f>
        <v/>
      </c>
    </row>
    <row r="70" spans="3:4">
      <c r="C70" t="str">
        <f>IF('INCOLLA QUI'!B38=0,"",'INCOLLA QUI'!B38)</f>
        <v/>
      </c>
      <c r="D70" t="str">
        <f>IF(OR(C70="",C70=0),"",COUNTIF('INCOLLA QUI'!C38:AZ38,"AZZECCATO")*$D$25)</f>
        <v/>
      </c>
    </row>
    <row r="71" spans="3:4">
      <c r="C71" t="str">
        <f>IF('INCOLLA QUI'!B39=0,"",'INCOLLA QUI'!B39)</f>
        <v/>
      </c>
      <c r="D71" t="str">
        <f>IF(OR(C71="",C71=0),"",COUNTIF('INCOLLA QUI'!C39:AZ39,"AZZECCATO")*$D$25)</f>
        <v/>
      </c>
    </row>
    <row r="72" spans="3:4">
      <c r="C72" t="str">
        <f>IF('INCOLLA QUI'!B40=0,"",'INCOLLA QUI'!B40)</f>
        <v/>
      </c>
      <c r="D72" t="str">
        <f>IF(OR(C72="",C72=0),"",COUNTIF('INCOLLA QUI'!C40:AZ40,"AZZECCATO")*$D$25)</f>
        <v/>
      </c>
    </row>
    <row r="73" spans="3:4">
      <c r="C73" t="str">
        <f>IF('INCOLLA QUI'!B41=0,"",'INCOLLA QUI'!B41)</f>
        <v/>
      </c>
      <c r="D73" t="str">
        <f>IF(OR(C73="",C73=0),"",COUNTIF('INCOLLA QUI'!C41:AZ41,"AZZECCATO")*$D$25)</f>
        <v/>
      </c>
    </row>
    <row r="74" spans="3:4">
      <c r="C74" t="str">
        <f>IF('INCOLLA QUI'!B42=0,"",'INCOLLA QUI'!B42)</f>
        <v/>
      </c>
      <c r="D74" t="str">
        <f>IF(OR(C74="",C74=0),"",COUNTIF('INCOLLA QUI'!C42:AZ42,"AZZECCATO")*$D$25)</f>
        <v/>
      </c>
    </row>
    <row r="75" spans="3:4">
      <c r="C75" t="str">
        <f>IF('INCOLLA QUI'!B43=0,"",'INCOLLA QUI'!B43)</f>
        <v/>
      </c>
      <c r="D75" t="str">
        <f>IF(OR(C75="",C75=0),"",COUNTIF('INCOLLA QUI'!C43:AZ43,"AZZECCATO")*$D$25)</f>
        <v/>
      </c>
    </row>
    <row r="76" spans="3:4">
      <c r="C76" t="str">
        <f>IF('INCOLLA QUI'!B44=0,"",'INCOLLA QUI'!B44)</f>
        <v/>
      </c>
      <c r="D76" t="str">
        <f>IF(OR(C76="",C76=0),"",COUNTIF('INCOLLA QUI'!C44:AZ44,"AZZECCATO")*$D$25)</f>
        <v/>
      </c>
    </row>
    <row r="77" spans="3:4">
      <c r="C77" t="str">
        <f>IF('INCOLLA QUI'!B45=0,"",'INCOLLA QUI'!B45)</f>
        <v/>
      </c>
      <c r="D77" t="str">
        <f>IF(OR(C77="",C77=0),"",COUNTIF('INCOLLA QUI'!C45:AZ45,"AZZECCATO")*$D$25)</f>
        <v/>
      </c>
    </row>
    <row r="78" spans="3:4">
      <c r="C78" t="str">
        <f>IF('INCOLLA QUI'!B46=0,"",'INCOLLA QUI'!B46)</f>
        <v/>
      </c>
      <c r="D78" t="str">
        <f>IF(OR(C78="",C78=0),"",COUNTIF('INCOLLA QUI'!C46:AZ46,"AZZECCATO")*$D$25)</f>
        <v/>
      </c>
    </row>
    <row r="79" spans="3:4">
      <c r="C79" t="str">
        <f>IF('INCOLLA QUI'!B47=0,"",'INCOLLA QUI'!B47)</f>
        <v/>
      </c>
      <c r="D79" t="str">
        <f>IF(OR(C79="",C79=0),"",COUNTIF('INCOLLA QUI'!C47:AZ47,"AZZECCATO")*$D$25)</f>
        <v/>
      </c>
    </row>
    <row r="80" spans="3:4">
      <c r="C80" t="str">
        <f>IF('INCOLLA QUI'!B48=0,"",'INCOLLA QUI'!B48)</f>
        <v/>
      </c>
      <c r="D80" t="str">
        <f>IF(OR(C80="",C80=0),"",COUNTIF('INCOLLA QUI'!C48:AZ48,"AZZECCATO")*$D$25)</f>
        <v/>
      </c>
    </row>
    <row r="81" spans="3:4">
      <c r="C81" t="str">
        <f>IF('INCOLLA QUI'!B49=0,"",'INCOLLA QUI'!B49)</f>
        <v/>
      </c>
      <c r="D81" t="str">
        <f>IF(OR(C81="",C81=0),"",COUNTIF('INCOLLA QUI'!C49:AZ49,"AZZECCATO")*$D$25)</f>
        <v/>
      </c>
    </row>
    <row r="82" spans="3:4">
      <c r="C82" t="str">
        <f>IF('INCOLLA QUI'!B50=0,"",'INCOLLA QUI'!B50)</f>
        <v/>
      </c>
      <c r="D82" t="str">
        <f>IF(OR(C82="",C82=0),"",COUNTIF('INCOLLA QUI'!C50:AZ50,"AZZECCATO")*$D$25)</f>
        <v/>
      </c>
    </row>
    <row r="83" spans="3:4">
      <c r="C83" t="str">
        <f>IF('INCOLLA QUI'!B51=0,"",'INCOLLA QUI'!B51)</f>
        <v/>
      </c>
      <c r="D83" t="str">
        <f>IF(OR(C83="",C83=0),"",COUNTIF('INCOLLA QUI'!C51:AZ51,"AZZECCATO")*$D$25)</f>
        <v/>
      </c>
    </row>
    <row r="84" spans="3:4">
      <c r="C84" t="str">
        <f>IF('INCOLLA QUI'!B52=0,"",'INCOLLA QUI'!B52)</f>
        <v/>
      </c>
      <c r="D84" t="str">
        <f>IF(OR(C84="",C84=0),"",COUNTIF('INCOLLA QUI'!C52:AZ52,"AZZECCATO")*$D$25)</f>
        <v/>
      </c>
    </row>
    <row r="85" spans="3:4">
      <c r="C85" t="str">
        <f>IF('INCOLLA QUI'!B53=0,"",'INCOLLA QUI'!B53)</f>
        <v/>
      </c>
      <c r="D85" t="str">
        <f>IF(OR(C85="",C85=0),"",COUNTIF('INCOLLA QUI'!C53:AZ53,"AZZECCATO")*$D$25)</f>
        <v/>
      </c>
    </row>
    <row r="86" spans="3:4">
      <c r="C86" t="str">
        <f>IF('INCOLLA QUI'!B54=0,"",'INCOLLA QUI'!B54)</f>
        <v/>
      </c>
      <c r="D86" t="str">
        <f>IF(OR(C86="",C86=0),"",COUNTIF('INCOLLA QUI'!C54:AZ54,"AZZECCATO")*$D$25)</f>
        <v/>
      </c>
    </row>
    <row r="87" spans="3:4">
      <c r="C87" t="str">
        <f>IF('INCOLLA QUI'!B55=0,"",'INCOLLA QUI'!B55)</f>
        <v/>
      </c>
      <c r="D87" t="str">
        <f>IF(OR(C87="",C87=0),"",COUNTIF('INCOLLA QUI'!C55:AZ55,"AZZECCATO")*$D$25)</f>
        <v/>
      </c>
    </row>
    <row r="88" spans="3:4">
      <c r="C88" t="str">
        <f>IF('INCOLLA QUI'!B56=0,"",'INCOLLA QUI'!B56)</f>
        <v/>
      </c>
      <c r="D88" t="str">
        <f>IF(OR(C88="",C88=0),"",COUNTIF('INCOLLA QUI'!C56:AZ56,"AZZECCATO")*$D$25)</f>
        <v/>
      </c>
    </row>
    <row r="89" spans="3:4">
      <c r="C89" t="str">
        <f>IF('INCOLLA QUI'!B57=0,"",'INCOLLA QUI'!B57)</f>
        <v/>
      </c>
      <c r="D89" t="str">
        <f>IF(OR(C89="",C89=0),"",COUNTIF('INCOLLA QUI'!C57:AZ57,"AZZECCATO")*$D$25)</f>
        <v/>
      </c>
    </row>
    <row r="90" spans="3:4">
      <c r="C90" t="str">
        <f>IF('INCOLLA QUI'!B58=0,"",'INCOLLA QUI'!B58)</f>
        <v/>
      </c>
      <c r="D90" t="str">
        <f>IF(OR(C90="",C90=0),"",COUNTIF('INCOLLA QUI'!C58:AZ58,"AZZECCATO")*$D$25)</f>
        <v/>
      </c>
    </row>
    <row r="91" spans="3:4">
      <c r="C91" t="str">
        <f>IF('INCOLLA QUI'!B59=0,"",'INCOLLA QUI'!B59)</f>
        <v/>
      </c>
      <c r="D91" t="str">
        <f>IF(OR(C91="",C91=0),"",COUNTIF('INCOLLA QUI'!C59:AZ59,"AZZECCATO")*$D$25)</f>
        <v/>
      </c>
    </row>
    <row r="92" spans="3:4">
      <c r="C92" t="str">
        <f>IF('INCOLLA QUI'!B60=0,"",'INCOLLA QUI'!B60)</f>
        <v/>
      </c>
      <c r="D92" t="str">
        <f>IF(OR(C92="",C92=0),"",COUNTIF('INCOLLA QUI'!C60:AZ60,"AZZECCATO")*$D$25)</f>
        <v/>
      </c>
    </row>
    <row r="93" spans="3:4">
      <c r="C93" t="str">
        <f>IF('INCOLLA QUI'!B61=0,"",'INCOLLA QUI'!B61)</f>
        <v/>
      </c>
      <c r="D93" t="str">
        <f>IF(OR(C93="",C93=0),"",COUNTIF('INCOLLA QUI'!C61:AZ61,"AZZECCATO")*$D$25)</f>
        <v/>
      </c>
    </row>
    <row r="94" spans="3:4">
      <c r="C94" t="str">
        <f>IF('INCOLLA QUI'!B62=0,"",'INCOLLA QUI'!B62)</f>
        <v/>
      </c>
      <c r="D94" t="str">
        <f>IF(OR(C94="",C94=0),"",COUNTIF('INCOLLA QUI'!C62:AZ62,"AZZECCATO")*$D$25)</f>
        <v/>
      </c>
    </row>
    <row r="95" spans="3:4">
      <c r="C95" t="str">
        <f>IF('INCOLLA QUI'!B63=0,"",'INCOLLA QUI'!B63)</f>
        <v/>
      </c>
      <c r="D95" t="str">
        <f>IF(OR(C95="",C95=0),"",COUNTIF('INCOLLA QUI'!C63:AZ63,"AZZECCATO")*$D$25)</f>
        <v/>
      </c>
    </row>
    <row r="96" spans="3:4">
      <c r="C96" t="str">
        <f>IF('INCOLLA QUI'!B64=0,"",'INCOLLA QUI'!B64)</f>
        <v/>
      </c>
      <c r="D96" t="str">
        <f>IF(OR(C96="",C96=0),"",COUNTIF('INCOLLA QUI'!C64:AZ64,"AZZECCATO")*$D$25)</f>
        <v/>
      </c>
    </row>
    <row r="97" spans="3:4">
      <c r="C97" t="str">
        <f>IF('INCOLLA QUI'!B65=0,"",'INCOLLA QUI'!B65)</f>
        <v/>
      </c>
      <c r="D97" t="str">
        <f>IF(OR(C97="",C97=0),"",COUNTIF('INCOLLA QUI'!C65:AZ65,"AZZECCATO")*$D$25)</f>
        <v/>
      </c>
    </row>
    <row r="98" spans="3:4">
      <c r="C98" t="str">
        <f>IF('INCOLLA QUI'!B66=0,"",'INCOLLA QUI'!B66)</f>
        <v/>
      </c>
      <c r="D98" t="str">
        <f>IF(OR(C98="",C98=0),"",COUNTIF('INCOLLA QUI'!C66:AZ66,"AZZECCATO")*$D$25)</f>
        <v/>
      </c>
    </row>
    <row r="99" spans="3:4">
      <c r="C99" t="str">
        <f>IF('INCOLLA QUI'!B67=0,"",'INCOLLA QUI'!B67)</f>
        <v/>
      </c>
      <c r="D99" t="str">
        <f>IF(OR(C99="",C99=0),"",COUNTIF('INCOLLA QUI'!C67:AZ67,"AZZECCATO")*$D$25)</f>
        <v/>
      </c>
    </row>
    <row r="100" spans="3:4">
      <c r="C100" t="str">
        <f>IF('INCOLLA QUI'!B68=0,"",'INCOLLA QUI'!B68)</f>
        <v/>
      </c>
      <c r="D100" t="str">
        <f>IF(OR(C100="",C100=0),"",COUNTIF('INCOLLA QUI'!C68:AZ68,"AZZECCATO")*$D$25)</f>
        <v/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A1:B68"/>
  <sheetViews>
    <sheetView showGridLines="0" workbookViewId="0"/>
  </sheetViews>
  <sheetFormatPr defaultRowHeight="12.75"/>
  <cols>
    <col min="1" max="1" width="14.5703125" customWidth="1"/>
    <col min="2" max="2" width="15.5703125" customWidth="1"/>
  </cols>
  <sheetData>
    <row r="1" spans="1:2">
      <c r="A1" s="9" t="s">
        <v>19</v>
      </c>
      <c r="B1" s="9" t="s">
        <v>20</v>
      </c>
    </row>
    <row r="2" spans="1:2">
      <c r="A2" t="s">
        <v>60</v>
      </c>
      <c r="B2">
        <v>24</v>
      </c>
    </row>
    <row r="3" spans="1:2">
      <c r="A3" t="s">
        <v>0</v>
      </c>
      <c r="B3">
        <v>23</v>
      </c>
    </row>
    <row r="4" spans="1:2">
      <c r="A4" t="s">
        <v>1</v>
      </c>
      <c r="B4">
        <v>19</v>
      </c>
    </row>
    <row r="5" spans="1:2">
      <c r="A5" t="s">
        <v>81</v>
      </c>
      <c r="B5">
        <v>19</v>
      </c>
    </row>
    <row r="6" spans="1:2">
      <c r="A6" t="s">
        <v>85</v>
      </c>
      <c r="B6">
        <v>23</v>
      </c>
    </row>
    <row r="7" spans="1:2">
      <c r="A7" t="s">
        <v>87</v>
      </c>
      <c r="B7">
        <v>19</v>
      </c>
    </row>
    <row r="8" spans="1:2">
      <c r="A8" t="s">
        <v>91</v>
      </c>
      <c r="B8">
        <v>23</v>
      </c>
    </row>
    <row r="9" spans="1:2">
      <c r="A9" t="s">
        <v>3</v>
      </c>
      <c r="B9">
        <v>24</v>
      </c>
    </row>
    <row r="10" spans="1:2">
      <c r="A10" t="s">
        <v>94</v>
      </c>
      <c r="B10">
        <v>21</v>
      </c>
    </row>
    <row r="11" spans="1:2">
      <c r="A11" t="s">
        <v>2</v>
      </c>
      <c r="B11">
        <v>26</v>
      </c>
    </row>
    <row r="12" spans="1:2">
      <c r="A12" t="s">
        <v>97</v>
      </c>
      <c r="B12" t="s">
        <v>97</v>
      </c>
    </row>
    <row r="13" spans="1:2">
      <c r="A13" t="s">
        <v>97</v>
      </c>
      <c r="B13" t="s">
        <v>97</v>
      </c>
    </row>
    <row r="14" spans="1:2">
      <c r="A14" t="s">
        <v>97</v>
      </c>
      <c r="B14" t="s">
        <v>97</v>
      </c>
    </row>
    <row r="15" spans="1:2">
      <c r="A15" t="s">
        <v>97</v>
      </c>
      <c r="B15" t="s">
        <v>97</v>
      </c>
    </row>
    <row r="16" spans="1:2">
      <c r="A16" t="s">
        <v>97</v>
      </c>
      <c r="B16" t="s">
        <v>97</v>
      </c>
    </row>
    <row r="17" spans="1:2">
      <c r="A17" t="s">
        <v>97</v>
      </c>
      <c r="B17" t="s">
        <v>97</v>
      </c>
    </row>
    <row r="18" spans="1:2">
      <c r="A18" t="s">
        <v>97</v>
      </c>
      <c r="B18" t="s">
        <v>97</v>
      </c>
    </row>
    <row r="19" spans="1:2">
      <c r="A19" t="s">
        <v>97</v>
      </c>
      <c r="B19" t="s">
        <v>97</v>
      </c>
    </row>
    <row r="20" spans="1:2">
      <c r="A20" t="s">
        <v>97</v>
      </c>
      <c r="B20" t="s">
        <v>97</v>
      </c>
    </row>
    <row r="21" spans="1:2">
      <c r="A21" t="s">
        <v>97</v>
      </c>
      <c r="B21" t="s">
        <v>97</v>
      </c>
    </row>
    <row r="22" spans="1:2">
      <c r="A22" t="s">
        <v>97</v>
      </c>
      <c r="B22" t="s">
        <v>97</v>
      </c>
    </row>
    <row r="23" spans="1:2">
      <c r="A23" t="s">
        <v>97</v>
      </c>
      <c r="B23" t="s">
        <v>97</v>
      </c>
    </row>
    <row r="24" spans="1:2">
      <c r="A24" t="s">
        <v>97</v>
      </c>
      <c r="B24" t="s">
        <v>97</v>
      </c>
    </row>
    <row r="25" spans="1:2">
      <c r="A25" t="s">
        <v>97</v>
      </c>
      <c r="B25" t="s">
        <v>97</v>
      </c>
    </row>
    <row r="26" spans="1:2">
      <c r="A26" t="s">
        <v>97</v>
      </c>
      <c r="B26" t="s">
        <v>97</v>
      </c>
    </row>
    <row r="27" spans="1:2">
      <c r="A27" t="s">
        <v>97</v>
      </c>
      <c r="B27" t="s">
        <v>97</v>
      </c>
    </row>
    <row r="28" spans="1:2">
      <c r="A28" t="s">
        <v>97</v>
      </c>
      <c r="B28" t="s">
        <v>97</v>
      </c>
    </row>
    <row r="29" spans="1:2">
      <c r="A29" t="s">
        <v>97</v>
      </c>
      <c r="B29" t="s">
        <v>97</v>
      </c>
    </row>
    <row r="30" spans="1:2">
      <c r="A30" t="s">
        <v>97</v>
      </c>
      <c r="B30" t="s">
        <v>97</v>
      </c>
    </row>
    <row r="31" spans="1:2">
      <c r="A31" t="s">
        <v>97</v>
      </c>
      <c r="B31" t="s">
        <v>97</v>
      </c>
    </row>
    <row r="32" spans="1:2">
      <c r="A32" t="s">
        <v>97</v>
      </c>
      <c r="B32" t="s">
        <v>97</v>
      </c>
    </row>
    <row r="33" spans="1:2">
      <c r="A33" t="s">
        <v>97</v>
      </c>
      <c r="B33" t="s">
        <v>97</v>
      </c>
    </row>
    <row r="34" spans="1:2">
      <c r="A34" t="s">
        <v>97</v>
      </c>
      <c r="B34" t="s">
        <v>97</v>
      </c>
    </row>
    <row r="35" spans="1:2">
      <c r="A35" t="s">
        <v>97</v>
      </c>
      <c r="B35" t="s">
        <v>97</v>
      </c>
    </row>
    <row r="36" spans="1:2">
      <c r="A36" t="s">
        <v>97</v>
      </c>
      <c r="B36" t="s">
        <v>97</v>
      </c>
    </row>
    <row r="37" spans="1:2">
      <c r="A37" t="s">
        <v>97</v>
      </c>
      <c r="B37" t="s">
        <v>97</v>
      </c>
    </row>
    <row r="38" spans="1:2">
      <c r="A38" t="s">
        <v>97</v>
      </c>
      <c r="B38" t="s">
        <v>97</v>
      </c>
    </row>
    <row r="39" spans="1:2">
      <c r="A39" t="s">
        <v>97</v>
      </c>
      <c r="B39" t="s">
        <v>97</v>
      </c>
    </row>
    <row r="40" spans="1:2">
      <c r="A40" t="s">
        <v>97</v>
      </c>
      <c r="B40" t="s">
        <v>97</v>
      </c>
    </row>
    <row r="41" spans="1:2">
      <c r="A41" t="s">
        <v>97</v>
      </c>
      <c r="B41" t="s">
        <v>97</v>
      </c>
    </row>
    <row r="42" spans="1:2">
      <c r="A42" t="s">
        <v>97</v>
      </c>
      <c r="B42" t="s">
        <v>97</v>
      </c>
    </row>
    <row r="43" spans="1:2">
      <c r="A43" t="s">
        <v>97</v>
      </c>
      <c r="B43" t="s">
        <v>97</v>
      </c>
    </row>
    <row r="44" spans="1:2">
      <c r="A44" t="s">
        <v>97</v>
      </c>
      <c r="B44" t="s">
        <v>97</v>
      </c>
    </row>
    <row r="45" spans="1:2">
      <c r="A45" t="s">
        <v>97</v>
      </c>
      <c r="B45" t="s">
        <v>97</v>
      </c>
    </row>
    <row r="46" spans="1:2">
      <c r="A46" t="s">
        <v>97</v>
      </c>
      <c r="B46" t="s">
        <v>97</v>
      </c>
    </row>
    <row r="47" spans="1:2">
      <c r="A47" t="s">
        <v>97</v>
      </c>
      <c r="B47" t="s">
        <v>97</v>
      </c>
    </row>
    <row r="48" spans="1:2">
      <c r="A48" t="s">
        <v>97</v>
      </c>
      <c r="B48" t="s">
        <v>97</v>
      </c>
    </row>
    <row r="49" spans="1:2">
      <c r="A49" t="s">
        <v>97</v>
      </c>
      <c r="B49" t="s">
        <v>97</v>
      </c>
    </row>
    <row r="50" spans="1:2">
      <c r="A50" t="s">
        <v>97</v>
      </c>
      <c r="B50" t="s">
        <v>97</v>
      </c>
    </row>
    <row r="51" spans="1:2">
      <c r="A51" t="s">
        <v>97</v>
      </c>
      <c r="B51" t="s">
        <v>97</v>
      </c>
    </row>
    <row r="52" spans="1:2">
      <c r="A52" t="s">
        <v>97</v>
      </c>
      <c r="B52" t="s">
        <v>97</v>
      </c>
    </row>
    <row r="53" spans="1:2">
      <c r="A53" t="s">
        <v>97</v>
      </c>
      <c r="B53" t="s">
        <v>97</v>
      </c>
    </row>
    <row r="54" spans="1:2">
      <c r="A54" t="s">
        <v>97</v>
      </c>
      <c r="B54" t="s">
        <v>97</v>
      </c>
    </row>
    <row r="55" spans="1:2">
      <c r="A55" t="s">
        <v>97</v>
      </c>
      <c r="B55" t="s">
        <v>97</v>
      </c>
    </row>
    <row r="56" spans="1:2">
      <c r="A56" t="s">
        <v>97</v>
      </c>
      <c r="B56" t="s">
        <v>97</v>
      </c>
    </row>
    <row r="57" spans="1:2">
      <c r="A57" t="s">
        <v>97</v>
      </c>
      <c r="B57" t="s">
        <v>97</v>
      </c>
    </row>
    <row r="58" spans="1:2">
      <c r="A58" t="s">
        <v>97</v>
      </c>
      <c r="B58" t="s">
        <v>97</v>
      </c>
    </row>
    <row r="59" spans="1:2">
      <c r="A59" t="s">
        <v>97</v>
      </c>
      <c r="B59" t="s">
        <v>97</v>
      </c>
    </row>
    <row r="60" spans="1:2">
      <c r="A60" t="s">
        <v>97</v>
      </c>
      <c r="B60" t="s">
        <v>97</v>
      </c>
    </row>
    <row r="61" spans="1:2">
      <c r="A61" t="s">
        <v>97</v>
      </c>
      <c r="B61" t="s">
        <v>97</v>
      </c>
    </row>
    <row r="62" spans="1:2">
      <c r="A62" t="s">
        <v>97</v>
      </c>
      <c r="B62" t="s">
        <v>97</v>
      </c>
    </row>
    <row r="63" spans="1:2">
      <c r="A63" t="s">
        <v>97</v>
      </c>
      <c r="B63" t="s">
        <v>97</v>
      </c>
    </row>
    <row r="64" spans="1:2">
      <c r="A64" t="s">
        <v>97</v>
      </c>
      <c r="B64" t="s">
        <v>97</v>
      </c>
    </row>
    <row r="65" spans="1:2">
      <c r="A65" t="s">
        <v>97</v>
      </c>
      <c r="B65" t="s">
        <v>97</v>
      </c>
    </row>
    <row r="66" spans="1:2">
      <c r="A66" t="s">
        <v>97</v>
      </c>
      <c r="B66" t="s">
        <v>97</v>
      </c>
    </row>
    <row r="67" spans="1:2">
      <c r="A67" t="s">
        <v>97</v>
      </c>
      <c r="B67" t="s">
        <v>97</v>
      </c>
    </row>
    <row r="68" spans="1:2">
      <c r="A68" t="s">
        <v>97</v>
      </c>
      <c r="B68" t="s">
        <v>97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4"/>
  <dimension ref="A1:H63"/>
  <sheetViews>
    <sheetView showGridLines="0" tabSelected="1" workbookViewId="0">
      <selection activeCell="D1" sqref="D1"/>
    </sheetView>
  </sheetViews>
  <sheetFormatPr defaultRowHeight="12.75"/>
  <cols>
    <col min="1" max="1" width="17.7109375" bestFit="1" customWidth="1"/>
    <col min="2" max="2" width="17.5703125" bestFit="1" customWidth="1"/>
    <col min="6" max="6" width="9.28515625" style="15" bestFit="1" customWidth="1"/>
    <col min="7" max="7" width="26.140625" customWidth="1"/>
    <col min="8" max="8" width="6.28515625" bestFit="1" customWidth="1"/>
  </cols>
  <sheetData>
    <row r="1" spans="1:8">
      <c r="A1" s="6" t="s">
        <v>23</v>
      </c>
      <c r="B1" t="s">
        <v>21</v>
      </c>
    </row>
    <row r="2" spans="1:8" ht="15.75">
      <c r="A2" s="7" t="s">
        <v>2</v>
      </c>
      <c r="B2" s="8">
        <v>26</v>
      </c>
      <c r="D2" s="16"/>
      <c r="F2" s="17" t="s">
        <v>22</v>
      </c>
      <c r="G2" s="18"/>
      <c r="H2" s="19"/>
    </row>
    <row r="3" spans="1:8" ht="15">
      <c r="A3" s="7" t="s">
        <v>60</v>
      </c>
      <c r="B3" s="8">
        <v>24</v>
      </c>
      <c r="D3" s="16"/>
      <c r="F3" s="13" t="s">
        <v>4</v>
      </c>
      <c r="G3" s="11" t="s">
        <v>5</v>
      </c>
      <c r="H3" s="12" t="s">
        <v>6</v>
      </c>
    </row>
    <row r="4" spans="1:8">
      <c r="A4" s="7" t="s">
        <v>3</v>
      </c>
      <c r="B4" s="8">
        <v>24</v>
      </c>
      <c r="D4" s="16"/>
      <c r="F4" s="14">
        <v>1</v>
      </c>
      <c r="G4" s="1" t="str">
        <f>A2</f>
        <v>Carlito</v>
      </c>
      <c r="H4" s="2">
        <f t="shared" ref="H4:H39" si="0">B2</f>
        <v>26</v>
      </c>
    </row>
    <row r="5" spans="1:8">
      <c r="A5" s="7" t="s">
        <v>85</v>
      </c>
      <c r="B5" s="8">
        <v>23</v>
      </c>
      <c r="F5" s="14">
        <f>IF(H5=H4,1,2)</f>
        <v>2</v>
      </c>
      <c r="G5" s="1" t="str">
        <f t="shared" ref="G4:G39" si="1">A3</f>
        <v>Klasen78</v>
      </c>
      <c r="H5" s="2">
        <f t="shared" si="0"/>
        <v>24</v>
      </c>
    </row>
    <row r="6" spans="1:8">
      <c r="A6" s="7" t="s">
        <v>0</v>
      </c>
      <c r="B6" s="8">
        <v>23</v>
      </c>
      <c r="F6" s="14">
        <f>IF(H6=H5,F5,ROW(F6)-3)</f>
        <v>2</v>
      </c>
      <c r="G6" s="1" t="str">
        <f t="shared" si="1"/>
        <v>Salvatore</v>
      </c>
      <c r="H6" s="2">
        <f t="shared" si="0"/>
        <v>24</v>
      </c>
    </row>
    <row r="7" spans="1:8">
      <c r="A7" s="7" t="s">
        <v>91</v>
      </c>
      <c r="B7" s="8">
        <v>23</v>
      </c>
      <c r="F7" s="14">
        <f t="shared" ref="F7:F63" si="2">IF(H7=H6,F6,ROW(F7)-3)</f>
        <v>4</v>
      </c>
      <c r="G7" s="1" t="str">
        <f t="shared" si="1"/>
        <v>Maria Isabel</v>
      </c>
      <c r="H7" s="2">
        <f t="shared" si="0"/>
        <v>23</v>
      </c>
    </row>
    <row r="8" spans="1:8">
      <c r="A8" s="7" t="s">
        <v>94</v>
      </c>
      <c r="B8" s="8">
        <v>21</v>
      </c>
      <c r="F8" s="14">
        <f t="shared" si="2"/>
        <v>4</v>
      </c>
      <c r="G8" s="1" t="str">
        <f t="shared" si="1"/>
        <v>Domanov</v>
      </c>
      <c r="H8" s="2">
        <f t="shared" si="0"/>
        <v>23</v>
      </c>
    </row>
    <row r="9" spans="1:8">
      <c r="A9" s="7" t="s">
        <v>87</v>
      </c>
      <c r="B9" s="8">
        <v>19</v>
      </c>
      <c r="F9" s="14">
        <f t="shared" si="2"/>
        <v>4</v>
      </c>
      <c r="G9" s="1" t="str">
        <f t="shared" si="1"/>
        <v>Lollo</v>
      </c>
      <c r="H9" s="2">
        <f t="shared" si="0"/>
        <v>23</v>
      </c>
    </row>
    <row r="10" spans="1:8">
      <c r="A10" s="7" t="s">
        <v>81</v>
      </c>
      <c r="B10" s="8">
        <v>19</v>
      </c>
      <c r="F10" s="14">
        <f t="shared" si="2"/>
        <v>7</v>
      </c>
      <c r="G10" s="1" t="str">
        <f t="shared" si="1"/>
        <v>Vince</v>
      </c>
      <c r="H10" s="2">
        <f t="shared" si="0"/>
        <v>21</v>
      </c>
    </row>
    <row r="11" spans="1:8">
      <c r="A11" s="7" t="s">
        <v>1</v>
      </c>
      <c r="B11" s="8">
        <v>19</v>
      </c>
      <c r="F11" s="14">
        <f t="shared" si="2"/>
        <v>8</v>
      </c>
      <c r="G11" s="1" t="str">
        <f t="shared" si="1"/>
        <v>Lars</v>
      </c>
      <c r="H11" s="2">
        <f t="shared" si="0"/>
        <v>19</v>
      </c>
    </row>
    <row r="12" spans="1:8">
      <c r="A12" s="7"/>
      <c r="B12" s="8">
        <v>0</v>
      </c>
      <c r="F12" s="14">
        <f t="shared" si="2"/>
        <v>8</v>
      </c>
      <c r="G12" s="1" t="str">
        <f t="shared" si="1"/>
        <v>Guido RF20</v>
      </c>
      <c r="H12" s="2">
        <f t="shared" si="0"/>
        <v>19</v>
      </c>
    </row>
    <row r="13" spans="1:8">
      <c r="A13" s="7" t="s">
        <v>24</v>
      </c>
      <c r="B13" s="8"/>
      <c r="F13" s="14">
        <f t="shared" si="2"/>
        <v>8</v>
      </c>
      <c r="G13" s="1" t="str">
        <f t="shared" si="1"/>
        <v>Topspin1985</v>
      </c>
      <c r="H13" s="2">
        <f t="shared" si="0"/>
        <v>19</v>
      </c>
    </row>
    <row r="14" spans="1:8">
      <c r="F14" s="14">
        <f t="shared" si="2"/>
        <v>11</v>
      </c>
      <c r="G14" s="1">
        <f t="shared" si="1"/>
        <v>0</v>
      </c>
      <c r="H14" s="2">
        <f t="shared" si="0"/>
        <v>0</v>
      </c>
    </row>
    <row r="15" spans="1:8">
      <c r="F15" s="14">
        <f t="shared" si="2"/>
        <v>11</v>
      </c>
      <c r="G15" s="1" t="str">
        <f t="shared" si="1"/>
        <v>(vuoto)</v>
      </c>
      <c r="H15" s="2">
        <f t="shared" si="0"/>
        <v>0</v>
      </c>
    </row>
    <row r="16" spans="1:8">
      <c r="F16" s="14">
        <f t="shared" si="2"/>
        <v>11</v>
      </c>
      <c r="G16" s="1">
        <f t="shared" si="1"/>
        <v>0</v>
      </c>
      <c r="H16" s="2">
        <f t="shared" si="0"/>
        <v>0</v>
      </c>
    </row>
    <row r="17" spans="6:8">
      <c r="F17" s="14">
        <f t="shared" si="2"/>
        <v>11</v>
      </c>
      <c r="G17" s="1">
        <f t="shared" si="1"/>
        <v>0</v>
      </c>
      <c r="H17" s="2">
        <f t="shared" si="0"/>
        <v>0</v>
      </c>
    </row>
    <row r="18" spans="6:8">
      <c r="F18" s="14">
        <f t="shared" si="2"/>
        <v>11</v>
      </c>
      <c r="G18" s="1">
        <f t="shared" si="1"/>
        <v>0</v>
      </c>
      <c r="H18" s="2">
        <f t="shared" si="0"/>
        <v>0</v>
      </c>
    </row>
    <row r="19" spans="6:8">
      <c r="F19" s="14">
        <f t="shared" si="2"/>
        <v>11</v>
      </c>
      <c r="G19" s="1">
        <f t="shared" si="1"/>
        <v>0</v>
      </c>
      <c r="H19" s="2">
        <f t="shared" si="0"/>
        <v>0</v>
      </c>
    </row>
    <row r="20" spans="6:8">
      <c r="F20" s="14">
        <f t="shared" si="2"/>
        <v>11</v>
      </c>
      <c r="G20" s="1">
        <f t="shared" si="1"/>
        <v>0</v>
      </c>
      <c r="H20" s="2">
        <f t="shared" si="0"/>
        <v>0</v>
      </c>
    </row>
    <row r="21" spans="6:8">
      <c r="F21" s="14">
        <f t="shared" si="2"/>
        <v>11</v>
      </c>
      <c r="G21" s="1">
        <f t="shared" si="1"/>
        <v>0</v>
      </c>
      <c r="H21" s="2">
        <f t="shared" si="0"/>
        <v>0</v>
      </c>
    </row>
    <row r="22" spans="6:8">
      <c r="F22" s="14">
        <f t="shared" si="2"/>
        <v>11</v>
      </c>
      <c r="G22" s="1">
        <f t="shared" si="1"/>
        <v>0</v>
      </c>
      <c r="H22" s="2">
        <f t="shared" si="0"/>
        <v>0</v>
      </c>
    </row>
    <row r="23" spans="6:8">
      <c r="F23" s="14">
        <f t="shared" si="2"/>
        <v>11</v>
      </c>
      <c r="G23" s="1">
        <f t="shared" si="1"/>
        <v>0</v>
      </c>
      <c r="H23" s="2">
        <f t="shared" si="0"/>
        <v>0</v>
      </c>
    </row>
    <row r="24" spans="6:8">
      <c r="F24" s="14">
        <f t="shared" si="2"/>
        <v>11</v>
      </c>
      <c r="G24" s="1">
        <f t="shared" si="1"/>
        <v>0</v>
      </c>
      <c r="H24" s="2">
        <f t="shared" si="0"/>
        <v>0</v>
      </c>
    </row>
    <row r="25" spans="6:8">
      <c r="F25" s="14">
        <f t="shared" si="2"/>
        <v>11</v>
      </c>
      <c r="G25" s="1">
        <f t="shared" si="1"/>
        <v>0</v>
      </c>
      <c r="H25" s="2">
        <f t="shared" si="0"/>
        <v>0</v>
      </c>
    </row>
    <row r="26" spans="6:8">
      <c r="F26" s="14">
        <f t="shared" si="2"/>
        <v>11</v>
      </c>
      <c r="G26" s="1">
        <f t="shared" si="1"/>
        <v>0</v>
      </c>
      <c r="H26" s="2">
        <f t="shared" si="0"/>
        <v>0</v>
      </c>
    </row>
    <row r="27" spans="6:8">
      <c r="F27" s="14">
        <f t="shared" si="2"/>
        <v>11</v>
      </c>
      <c r="G27" s="1">
        <f t="shared" si="1"/>
        <v>0</v>
      </c>
      <c r="H27" s="2">
        <f t="shared" si="0"/>
        <v>0</v>
      </c>
    </row>
    <row r="28" spans="6:8">
      <c r="F28" s="14">
        <f t="shared" si="2"/>
        <v>11</v>
      </c>
      <c r="G28" s="1">
        <f t="shared" si="1"/>
        <v>0</v>
      </c>
      <c r="H28" s="2">
        <f t="shared" si="0"/>
        <v>0</v>
      </c>
    </row>
    <row r="29" spans="6:8">
      <c r="F29" s="14">
        <f t="shared" si="2"/>
        <v>11</v>
      </c>
      <c r="G29" s="1">
        <f t="shared" si="1"/>
        <v>0</v>
      </c>
      <c r="H29" s="2">
        <f t="shared" si="0"/>
        <v>0</v>
      </c>
    </row>
    <row r="30" spans="6:8">
      <c r="F30" s="14">
        <f t="shared" si="2"/>
        <v>11</v>
      </c>
      <c r="G30" s="1">
        <f t="shared" si="1"/>
        <v>0</v>
      </c>
      <c r="H30" s="2">
        <f t="shared" si="0"/>
        <v>0</v>
      </c>
    </row>
    <row r="31" spans="6:8">
      <c r="F31" s="14">
        <f t="shared" si="2"/>
        <v>11</v>
      </c>
      <c r="G31" s="1">
        <f t="shared" si="1"/>
        <v>0</v>
      </c>
      <c r="H31" s="2">
        <f t="shared" si="0"/>
        <v>0</v>
      </c>
    </row>
    <row r="32" spans="6:8">
      <c r="F32" s="14">
        <f t="shared" si="2"/>
        <v>11</v>
      </c>
      <c r="G32" s="1">
        <f t="shared" si="1"/>
        <v>0</v>
      </c>
      <c r="H32" s="2">
        <f t="shared" si="0"/>
        <v>0</v>
      </c>
    </row>
    <row r="33" spans="6:8">
      <c r="F33" s="14">
        <f t="shared" si="2"/>
        <v>11</v>
      </c>
      <c r="G33" s="1">
        <f t="shared" si="1"/>
        <v>0</v>
      </c>
      <c r="H33" s="2">
        <f t="shared" si="0"/>
        <v>0</v>
      </c>
    </row>
    <row r="34" spans="6:8">
      <c r="F34" s="14">
        <f t="shared" si="2"/>
        <v>11</v>
      </c>
      <c r="G34" s="1">
        <f t="shared" si="1"/>
        <v>0</v>
      </c>
      <c r="H34" s="2">
        <f t="shared" si="0"/>
        <v>0</v>
      </c>
    </row>
    <row r="35" spans="6:8">
      <c r="F35" s="14">
        <f t="shared" si="2"/>
        <v>11</v>
      </c>
      <c r="G35" s="1">
        <f t="shared" si="1"/>
        <v>0</v>
      </c>
      <c r="H35" s="2">
        <f t="shared" si="0"/>
        <v>0</v>
      </c>
    </row>
    <row r="36" spans="6:8">
      <c r="F36" s="14">
        <f t="shared" si="2"/>
        <v>11</v>
      </c>
      <c r="G36" s="1">
        <f t="shared" si="1"/>
        <v>0</v>
      </c>
      <c r="H36" s="2">
        <f t="shared" si="0"/>
        <v>0</v>
      </c>
    </row>
    <row r="37" spans="6:8">
      <c r="F37" s="14">
        <f t="shared" si="2"/>
        <v>11</v>
      </c>
      <c r="G37" s="1">
        <f t="shared" si="1"/>
        <v>0</v>
      </c>
      <c r="H37" s="2">
        <f t="shared" si="0"/>
        <v>0</v>
      </c>
    </row>
    <row r="38" spans="6:8">
      <c r="F38" s="14">
        <f t="shared" si="2"/>
        <v>11</v>
      </c>
      <c r="G38" s="1">
        <f t="shared" si="1"/>
        <v>0</v>
      </c>
      <c r="H38" s="2">
        <f t="shared" si="0"/>
        <v>0</v>
      </c>
    </row>
    <row r="39" spans="6:8">
      <c r="F39" s="14">
        <f t="shared" si="2"/>
        <v>11</v>
      </c>
      <c r="G39" s="1">
        <f t="shared" si="1"/>
        <v>0</v>
      </c>
      <c r="H39" s="2">
        <f t="shared" si="0"/>
        <v>0</v>
      </c>
    </row>
    <row r="40" spans="6:8">
      <c r="F40" s="14">
        <f t="shared" si="2"/>
        <v>11</v>
      </c>
      <c r="G40" s="1">
        <f t="shared" ref="G40:G51" si="3">A38</f>
        <v>0</v>
      </c>
      <c r="H40" s="2">
        <f t="shared" ref="H40:H51" si="4">B38</f>
        <v>0</v>
      </c>
    </row>
    <row r="41" spans="6:8">
      <c r="F41" s="14">
        <f t="shared" si="2"/>
        <v>11</v>
      </c>
      <c r="G41" s="1">
        <f t="shared" si="3"/>
        <v>0</v>
      </c>
      <c r="H41" s="2">
        <f t="shared" si="4"/>
        <v>0</v>
      </c>
    </row>
    <row r="42" spans="6:8">
      <c r="F42" s="14">
        <f t="shared" si="2"/>
        <v>11</v>
      </c>
      <c r="G42" s="1">
        <f t="shared" si="3"/>
        <v>0</v>
      </c>
      <c r="H42" s="2">
        <f t="shared" si="4"/>
        <v>0</v>
      </c>
    </row>
    <row r="43" spans="6:8">
      <c r="F43" s="14">
        <f t="shared" si="2"/>
        <v>11</v>
      </c>
      <c r="G43" s="1">
        <f t="shared" si="3"/>
        <v>0</v>
      </c>
      <c r="H43" s="2">
        <f t="shared" si="4"/>
        <v>0</v>
      </c>
    </row>
    <row r="44" spans="6:8">
      <c r="F44" s="14">
        <f t="shared" si="2"/>
        <v>11</v>
      </c>
      <c r="G44" s="1">
        <f t="shared" si="3"/>
        <v>0</v>
      </c>
      <c r="H44" s="2">
        <f t="shared" si="4"/>
        <v>0</v>
      </c>
    </row>
    <row r="45" spans="6:8">
      <c r="F45" s="14">
        <f t="shared" si="2"/>
        <v>11</v>
      </c>
      <c r="G45" s="1">
        <f t="shared" si="3"/>
        <v>0</v>
      </c>
      <c r="H45" s="2">
        <f t="shared" si="4"/>
        <v>0</v>
      </c>
    </row>
    <row r="46" spans="6:8">
      <c r="F46" s="14">
        <f t="shared" si="2"/>
        <v>11</v>
      </c>
      <c r="G46" s="1">
        <f t="shared" si="3"/>
        <v>0</v>
      </c>
      <c r="H46" s="2">
        <f t="shared" si="4"/>
        <v>0</v>
      </c>
    </row>
    <row r="47" spans="6:8">
      <c r="F47" s="14">
        <f t="shared" si="2"/>
        <v>11</v>
      </c>
      <c r="G47" s="1">
        <f t="shared" si="3"/>
        <v>0</v>
      </c>
      <c r="H47" s="2">
        <f t="shared" si="4"/>
        <v>0</v>
      </c>
    </row>
    <row r="48" spans="6:8">
      <c r="F48" s="14">
        <f t="shared" si="2"/>
        <v>11</v>
      </c>
      <c r="G48" s="1">
        <f t="shared" si="3"/>
        <v>0</v>
      </c>
      <c r="H48" s="2">
        <f t="shared" si="4"/>
        <v>0</v>
      </c>
    </row>
    <row r="49" spans="6:8">
      <c r="F49" s="14">
        <f t="shared" si="2"/>
        <v>11</v>
      </c>
      <c r="G49" s="1">
        <f t="shared" si="3"/>
        <v>0</v>
      </c>
      <c r="H49" s="2">
        <f t="shared" si="4"/>
        <v>0</v>
      </c>
    </row>
    <row r="50" spans="6:8">
      <c r="F50" s="14">
        <f t="shared" si="2"/>
        <v>11</v>
      </c>
      <c r="G50" s="1">
        <f t="shared" si="3"/>
        <v>0</v>
      </c>
      <c r="H50" s="2">
        <f t="shared" si="4"/>
        <v>0</v>
      </c>
    </row>
    <row r="51" spans="6:8">
      <c r="F51" s="14">
        <f t="shared" si="2"/>
        <v>11</v>
      </c>
      <c r="G51" s="1">
        <f t="shared" si="3"/>
        <v>0</v>
      </c>
      <c r="H51" s="2">
        <f t="shared" si="4"/>
        <v>0</v>
      </c>
    </row>
    <row r="52" spans="6:8">
      <c r="F52" s="14">
        <f t="shared" si="2"/>
        <v>11</v>
      </c>
      <c r="G52" s="1">
        <f t="shared" ref="G52:G53" si="5">A50</f>
        <v>0</v>
      </c>
      <c r="H52" s="2">
        <f t="shared" ref="H52:H53" si="6">B50</f>
        <v>0</v>
      </c>
    </row>
    <row r="53" spans="6:8">
      <c r="F53" s="14">
        <f t="shared" si="2"/>
        <v>11</v>
      </c>
      <c r="G53" s="1">
        <f t="shared" si="5"/>
        <v>0</v>
      </c>
      <c r="H53" s="2">
        <f t="shared" si="6"/>
        <v>0</v>
      </c>
    </row>
    <row r="54" spans="6:8">
      <c r="F54" s="14">
        <f t="shared" si="2"/>
        <v>11</v>
      </c>
      <c r="G54" s="1">
        <f t="shared" ref="G54:G61" si="7">A52</f>
        <v>0</v>
      </c>
      <c r="H54" s="2">
        <f t="shared" ref="H54:H61" si="8">B52</f>
        <v>0</v>
      </c>
    </row>
    <row r="55" spans="6:8">
      <c r="F55" s="14">
        <f t="shared" si="2"/>
        <v>11</v>
      </c>
      <c r="G55" s="1">
        <f t="shared" si="7"/>
        <v>0</v>
      </c>
      <c r="H55" s="2">
        <f t="shared" si="8"/>
        <v>0</v>
      </c>
    </row>
    <row r="56" spans="6:8">
      <c r="F56" s="14">
        <f t="shared" si="2"/>
        <v>11</v>
      </c>
      <c r="G56" s="1">
        <f t="shared" si="7"/>
        <v>0</v>
      </c>
      <c r="H56" s="2">
        <f t="shared" si="8"/>
        <v>0</v>
      </c>
    </row>
    <row r="57" spans="6:8">
      <c r="F57" s="14">
        <f t="shared" si="2"/>
        <v>11</v>
      </c>
      <c r="G57" s="1">
        <f t="shared" si="7"/>
        <v>0</v>
      </c>
      <c r="H57" s="2">
        <f t="shared" si="8"/>
        <v>0</v>
      </c>
    </row>
    <row r="58" spans="6:8">
      <c r="F58" s="14">
        <f t="shared" si="2"/>
        <v>11</v>
      </c>
      <c r="G58" s="1">
        <f t="shared" si="7"/>
        <v>0</v>
      </c>
      <c r="H58" s="2">
        <f t="shared" si="8"/>
        <v>0</v>
      </c>
    </row>
    <row r="59" spans="6:8">
      <c r="F59" s="14">
        <f t="shared" si="2"/>
        <v>11</v>
      </c>
      <c r="G59" s="1">
        <f t="shared" si="7"/>
        <v>0</v>
      </c>
      <c r="H59" s="2">
        <f t="shared" si="8"/>
        <v>0</v>
      </c>
    </row>
    <row r="60" spans="6:8">
      <c r="F60" s="14">
        <f t="shared" si="2"/>
        <v>11</v>
      </c>
      <c r="G60" s="1">
        <f t="shared" si="7"/>
        <v>0</v>
      </c>
      <c r="H60" s="2">
        <f t="shared" si="8"/>
        <v>0</v>
      </c>
    </row>
    <row r="61" spans="6:8">
      <c r="F61" s="14">
        <f t="shared" si="2"/>
        <v>11</v>
      </c>
      <c r="G61" s="1">
        <f t="shared" si="7"/>
        <v>0</v>
      </c>
      <c r="H61" s="2">
        <f t="shared" si="8"/>
        <v>0</v>
      </c>
    </row>
    <row r="62" spans="6:8">
      <c r="F62" s="14">
        <f t="shared" si="2"/>
        <v>11</v>
      </c>
      <c r="G62" s="1">
        <f t="shared" ref="G62:G63" si="9">A60</f>
        <v>0</v>
      </c>
      <c r="H62" s="2">
        <f t="shared" ref="H62:H63" si="10">B60</f>
        <v>0</v>
      </c>
    </row>
    <row r="63" spans="6:8">
      <c r="F63" s="14">
        <f t="shared" si="2"/>
        <v>11</v>
      </c>
      <c r="G63" s="1">
        <f t="shared" si="9"/>
        <v>0</v>
      </c>
      <c r="H63" s="2">
        <f t="shared" si="10"/>
        <v>0</v>
      </c>
    </row>
  </sheetData>
  <mergeCells count="1">
    <mergeCell ref="F2:H2"/>
  </mergeCells>
  <conditionalFormatting sqref="F4:H63">
    <cfRule type="expression" dxfId="3" priority="1" stopIfTrue="1">
      <formula>($F4&gt;3)</formula>
    </cfRule>
    <cfRule type="expression" dxfId="2" priority="2" stopIfTrue="1">
      <formula>($F4=1)</formula>
    </cfRule>
    <cfRule type="expression" dxfId="1" priority="3" stopIfTrue="1">
      <formula>($F4=2)</formula>
    </cfRule>
    <cfRule type="expression" dxfId="0" priority="4" stopIfTrue="1">
      <formula>($F4=3)</formula>
    </cfRule>
  </conditionalFormatting>
  <pageMargins left="0.7" right="0.7" top="0.75" bottom="0.75" header="0.3" footer="0.3"/>
  <pageSetup paperSize="9" orientation="portrait" horizontalDpi="0" verticalDpi="0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4</vt:i4>
      </vt:variant>
    </vt:vector>
  </HeadingPairs>
  <TitlesOfParts>
    <vt:vector size="4" baseType="lpstr">
      <vt:lpstr>INCOLLA QUI</vt:lpstr>
      <vt:lpstr>Interfaccia</vt:lpstr>
      <vt:lpstr>Database</vt:lpstr>
      <vt:lpstr>PivotTable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Franz</dc:creator>
  <cp:lastModifiedBy>Andrea</cp:lastModifiedBy>
  <dcterms:created xsi:type="dcterms:W3CDTF">2017-08-24T12:57:10Z</dcterms:created>
  <dcterms:modified xsi:type="dcterms:W3CDTF">2020-01-22T15:57:42Z</dcterms:modified>
</cp:coreProperties>
</file>